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main\model_excel\"/>
    </mc:Choice>
  </mc:AlternateContent>
  <xr:revisionPtr revIDLastSave="0" documentId="13_ncr:1_{02001F7C-903A-40CB-84DA-0C8C395F11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13" l="1"/>
  <c r="S38" i="13"/>
  <c r="R38" i="13"/>
  <c r="Q38" i="13"/>
  <c r="P38" i="13"/>
  <c r="O38" i="13"/>
  <c r="N38" i="13"/>
  <c r="M38" i="13"/>
  <c r="H38" i="13"/>
  <c r="G38" i="13"/>
  <c r="U38" i="13" s="1"/>
  <c r="F38" i="13"/>
  <c r="T37" i="13"/>
  <c r="S37" i="13"/>
  <c r="R37" i="13"/>
  <c r="Q37" i="13"/>
  <c r="P37" i="13"/>
  <c r="O37" i="13"/>
  <c r="N37" i="13"/>
  <c r="M37" i="13"/>
  <c r="H37" i="13"/>
  <c r="F37" i="13"/>
  <c r="G37" i="13" s="1"/>
  <c r="U37" i="13" s="1"/>
  <c r="S36" i="13"/>
  <c r="Q36" i="13"/>
  <c r="R36" i="13" s="1"/>
  <c r="P36" i="13"/>
  <c r="O36" i="13"/>
  <c r="N36" i="13"/>
  <c r="M36" i="13"/>
  <c r="H36" i="13"/>
  <c r="T36" i="13" s="1"/>
  <c r="F36" i="13"/>
  <c r="G36" i="13" s="1"/>
  <c r="U36" i="13" s="1"/>
  <c r="P35" i="13"/>
  <c r="O35" i="13"/>
  <c r="N35" i="13"/>
  <c r="S35" i="13" s="1"/>
  <c r="M35" i="13"/>
  <c r="Q35" i="13" s="1"/>
  <c r="R35" i="13" s="1"/>
  <c r="H35" i="13"/>
  <c r="T35" i="13" s="1"/>
  <c r="F35" i="13"/>
  <c r="G35" i="13" s="1"/>
  <c r="U35" i="13" s="1"/>
  <c r="S34" i="13"/>
  <c r="P34" i="13"/>
  <c r="O34" i="13"/>
  <c r="N34" i="13"/>
  <c r="M34" i="13"/>
  <c r="Q34" i="13" s="1"/>
  <c r="R34" i="13" s="1"/>
  <c r="H34" i="13"/>
  <c r="F34" i="13" s="1"/>
  <c r="G34" i="13" s="1"/>
  <c r="U34" i="13" s="1"/>
  <c r="P33" i="13"/>
  <c r="O33" i="13"/>
  <c r="N33" i="13"/>
  <c r="S33" i="13" s="1"/>
  <c r="M33" i="13"/>
  <c r="Q33" i="13" s="1"/>
  <c r="R33" i="13" s="1"/>
  <c r="H33" i="13"/>
  <c r="T33" i="13" s="1"/>
  <c r="T32" i="13"/>
  <c r="S32" i="13"/>
  <c r="Q32" i="13"/>
  <c r="R32" i="13" s="1"/>
  <c r="P32" i="13"/>
  <c r="O32" i="13"/>
  <c r="N32" i="13"/>
  <c r="M32" i="13"/>
  <c r="H32" i="13"/>
  <c r="F32" i="13"/>
  <c r="G32" i="13" s="1"/>
  <c r="U32" i="13" s="1"/>
  <c r="P31" i="13"/>
  <c r="O31" i="13"/>
  <c r="T31" i="13" s="1"/>
  <c r="N31" i="13"/>
  <c r="S31" i="13" s="1"/>
  <c r="M31" i="13"/>
  <c r="Q31" i="13" s="1"/>
  <c r="R31" i="13" s="1"/>
  <c r="H31" i="13"/>
  <c r="F31" i="13"/>
  <c r="G31" i="13" s="1"/>
  <c r="U31" i="13" s="1"/>
  <c r="S30" i="13"/>
  <c r="R30" i="13"/>
  <c r="Q30" i="13"/>
  <c r="P30" i="13"/>
  <c r="O30" i="13"/>
  <c r="N30" i="13"/>
  <c r="M30" i="13"/>
  <c r="H30" i="13"/>
  <c r="F30" i="13" s="1"/>
  <c r="G30" i="13" s="1"/>
  <c r="U30" i="13" s="1"/>
  <c r="P29" i="13"/>
  <c r="O29" i="13"/>
  <c r="N29" i="13"/>
  <c r="S29" i="13" s="1"/>
  <c r="M29" i="13"/>
  <c r="Q29" i="13" s="1"/>
  <c r="R29" i="13" s="1"/>
  <c r="H29" i="13"/>
  <c r="T29" i="13" s="1"/>
  <c r="T28" i="13"/>
  <c r="S28" i="13"/>
  <c r="Q28" i="13"/>
  <c r="R28" i="13" s="1"/>
  <c r="P28" i="13"/>
  <c r="O28" i="13"/>
  <c r="N28" i="13"/>
  <c r="M28" i="13"/>
  <c r="H28" i="13"/>
  <c r="F28" i="13"/>
  <c r="G28" i="13" s="1"/>
  <c r="U28" i="13" s="1"/>
  <c r="P27" i="13"/>
  <c r="O27" i="13"/>
  <c r="T27" i="13" s="1"/>
  <c r="N27" i="13"/>
  <c r="S27" i="13" s="1"/>
  <c r="M27" i="13"/>
  <c r="Q27" i="13" s="1"/>
  <c r="R27" i="13" s="1"/>
  <c r="H27" i="13"/>
  <c r="F27" i="13"/>
  <c r="G27" i="13" s="1"/>
  <c r="U27" i="13" s="1"/>
  <c r="S26" i="13"/>
  <c r="R26" i="13"/>
  <c r="Q26" i="13"/>
  <c r="P26" i="13"/>
  <c r="O26" i="13"/>
  <c r="N26" i="13"/>
  <c r="M26" i="13"/>
  <c r="H26" i="13"/>
  <c r="F26" i="13" s="1"/>
  <c r="G26" i="13" s="1"/>
  <c r="U26" i="13" s="1"/>
  <c r="P25" i="13"/>
  <c r="O25" i="13"/>
  <c r="N25" i="13"/>
  <c r="S25" i="13" s="1"/>
  <c r="M25" i="13"/>
  <c r="Q25" i="13" s="1"/>
  <c r="R25" i="13" s="1"/>
  <c r="H25" i="13"/>
  <c r="T25" i="13" s="1"/>
  <c r="T24" i="13"/>
  <c r="S24" i="13"/>
  <c r="Q24" i="13"/>
  <c r="R24" i="13" s="1"/>
  <c r="P24" i="13"/>
  <c r="O24" i="13"/>
  <c r="N24" i="13"/>
  <c r="M24" i="13"/>
  <c r="H24" i="13"/>
  <c r="F24" i="13"/>
  <c r="G24" i="13" s="1"/>
  <c r="U24" i="13" s="1"/>
  <c r="P23" i="13"/>
  <c r="O23" i="13"/>
  <c r="T23" i="13" s="1"/>
  <c r="N23" i="13"/>
  <c r="S23" i="13" s="1"/>
  <c r="M23" i="13"/>
  <c r="Q23" i="13" s="1"/>
  <c r="R23" i="13" s="1"/>
  <c r="H23" i="13"/>
  <c r="F23" i="13"/>
  <c r="G23" i="13" s="1"/>
  <c r="U23" i="13" s="1"/>
  <c r="S22" i="13"/>
  <c r="R22" i="13"/>
  <c r="Q22" i="13"/>
  <c r="P22" i="13"/>
  <c r="O22" i="13"/>
  <c r="N22" i="13"/>
  <c r="M22" i="13"/>
  <c r="H22" i="13"/>
  <c r="F22" i="13" s="1"/>
  <c r="G22" i="13" s="1"/>
  <c r="U22" i="13" s="1"/>
  <c r="P21" i="13"/>
  <c r="O21" i="13"/>
  <c r="N21" i="13"/>
  <c r="S21" i="13" s="1"/>
  <c r="M21" i="13"/>
  <c r="Q21" i="13" s="1"/>
  <c r="R21" i="13" s="1"/>
  <c r="H21" i="13"/>
  <c r="T21" i="13" s="1"/>
  <c r="T20" i="13"/>
  <c r="S20" i="13"/>
  <c r="Q20" i="13"/>
  <c r="R20" i="13" s="1"/>
  <c r="P20" i="13"/>
  <c r="O20" i="13"/>
  <c r="N20" i="13"/>
  <c r="M20" i="13"/>
  <c r="H20" i="13"/>
  <c r="F20" i="13"/>
  <c r="G20" i="13" s="1"/>
  <c r="U20" i="13" s="1"/>
  <c r="P19" i="13"/>
  <c r="O19" i="13"/>
  <c r="T19" i="13" s="1"/>
  <c r="N19" i="13"/>
  <c r="S19" i="13" s="1"/>
  <c r="M19" i="13"/>
  <c r="Q19" i="13" s="1"/>
  <c r="R19" i="13" s="1"/>
  <c r="H19" i="13"/>
  <c r="F19" i="13"/>
  <c r="G19" i="13" s="1"/>
  <c r="U19" i="13" s="1"/>
  <c r="S18" i="13"/>
  <c r="R18" i="13"/>
  <c r="Q18" i="13"/>
  <c r="P18" i="13"/>
  <c r="O18" i="13"/>
  <c r="N18" i="13"/>
  <c r="M18" i="13"/>
  <c r="H18" i="13"/>
  <c r="F18" i="13" s="1"/>
  <c r="G18" i="13" s="1"/>
  <c r="U18" i="13" s="1"/>
  <c r="P17" i="13"/>
  <c r="O17" i="13"/>
  <c r="N17" i="13"/>
  <c r="S17" i="13" s="1"/>
  <c r="M17" i="13"/>
  <c r="Q17" i="13" s="1"/>
  <c r="R17" i="13" s="1"/>
  <c r="H17" i="13"/>
  <c r="T17" i="13" s="1"/>
  <c r="T16" i="13"/>
  <c r="S16" i="13"/>
  <c r="Q16" i="13"/>
  <c r="R16" i="13" s="1"/>
  <c r="P16" i="13"/>
  <c r="O16" i="13"/>
  <c r="N16" i="13"/>
  <c r="M16" i="13"/>
  <c r="H16" i="13"/>
  <c r="F16" i="13"/>
  <c r="G16" i="13" s="1"/>
  <c r="U16" i="13" s="1"/>
  <c r="P15" i="13"/>
  <c r="O15" i="13"/>
  <c r="T15" i="13" s="1"/>
  <c r="N15" i="13"/>
  <c r="S15" i="13" s="1"/>
  <c r="M15" i="13"/>
  <c r="Q15" i="13" s="1"/>
  <c r="R15" i="13" s="1"/>
  <c r="H15" i="13"/>
  <c r="F15" i="13"/>
  <c r="G15" i="13" s="1"/>
  <c r="U15" i="13" s="1"/>
  <c r="S14" i="13"/>
  <c r="R14" i="13"/>
  <c r="Q14" i="13"/>
  <c r="P14" i="13"/>
  <c r="O14" i="13"/>
  <c r="N14" i="13"/>
  <c r="M14" i="13"/>
  <c r="H14" i="13"/>
  <c r="F14" i="13" s="1"/>
  <c r="G14" i="13" s="1"/>
  <c r="U14" i="13" s="1"/>
  <c r="P13" i="13"/>
  <c r="O13" i="13"/>
  <c r="N13" i="13"/>
  <c r="S13" i="13" s="1"/>
  <c r="M13" i="13"/>
  <c r="Q13" i="13" s="1"/>
  <c r="R13" i="13" s="1"/>
  <c r="H13" i="13"/>
  <c r="T13" i="13" s="1"/>
  <c r="T12" i="13"/>
  <c r="S12" i="13"/>
  <c r="Q12" i="13"/>
  <c r="R12" i="13" s="1"/>
  <c r="P12" i="13"/>
  <c r="O12" i="13"/>
  <c r="N12" i="13"/>
  <c r="M12" i="13"/>
  <c r="H12" i="13"/>
  <c r="F12" i="13"/>
  <c r="G12" i="13" s="1"/>
  <c r="U12" i="13" s="1"/>
  <c r="P11" i="13"/>
  <c r="O11" i="13"/>
  <c r="T11" i="13" s="1"/>
  <c r="N11" i="13"/>
  <c r="S11" i="13" s="1"/>
  <c r="M11" i="13"/>
  <c r="Q11" i="13" s="1"/>
  <c r="R11" i="13" s="1"/>
  <c r="H11" i="13"/>
  <c r="F11" i="13"/>
  <c r="G11" i="13" s="1"/>
  <c r="U11" i="13" s="1"/>
  <c r="S10" i="13"/>
  <c r="R10" i="13"/>
  <c r="Q10" i="13"/>
  <c r="P10" i="13"/>
  <c r="O10" i="13"/>
  <c r="N10" i="13"/>
  <c r="M10" i="13"/>
  <c r="H10" i="13"/>
  <c r="F10" i="13" s="1"/>
  <c r="G10" i="13" s="1"/>
  <c r="U10" i="13" s="1"/>
  <c r="P9" i="13"/>
  <c r="O9" i="13"/>
  <c r="N9" i="13"/>
  <c r="S9" i="13" s="1"/>
  <c r="M9" i="13"/>
  <c r="Q9" i="13" s="1"/>
  <c r="R9" i="13" s="1"/>
  <c r="H9" i="13"/>
  <c r="T9" i="13" s="1"/>
  <c r="T8" i="13"/>
  <c r="S8" i="13"/>
  <c r="Q8" i="13"/>
  <c r="R8" i="13" s="1"/>
  <c r="P8" i="13"/>
  <c r="O8" i="13"/>
  <c r="N8" i="13"/>
  <c r="M8" i="13"/>
  <c r="H8" i="13"/>
  <c r="F8" i="13"/>
  <c r="G8" i="13" s="1"/>
  <c r="U8" i="13" s="1"/>
  <c r="P7" i="13"/>
  <c r="O7" i="13"/>
  <c r="T7" i="13" s="1"/>
  <c r="N7" i="13"/>
  <c r="S7" i="13" s="1"/>
  <c r="M7" i="13"/>
  <c r="Q7" i="13" s="1"/>
  <c r="R7" i="13" s="1"/>
  <c r="H7" i="13"/>
  <c r="F7" i="13"/>
  <c r="G7" i="13" s="1"/>
  <c r="U7" i="13" s="1"/>
  <c r="S6" i="13"/>
  <c r="R6" i="13"/>
  <c r="Q6" i="13"/>
  <c r="P6" i="13"/>
  <c r="O6" i="13"/>
  <c r="N6" i="13"/>
  <c r="M6" i="13"/>
  <c r="H6" i="13"/>
  <c r="F6" i="13" s="1"/>
  <c r="G6" i="13" s="1"/>
  <c r="U6" i="13" s="1"/>
  <c r="P5" i="13"/>
  <c r="O5" i="13"/>
  <c r="N5" i="13"/>
  <c r="S5" i="13" s="1"/>
  <c r="M5" i="13"/>
  <c r="Q5" i="13" s="1"/>
  <c r="R5" i="13" s="1"/>
  <c r="H5" i="13"/>
  <c r="T5" i="13" s="1"/>
  <c r="T4" i="13"/>
  <c r="S4" i="13"/>
  <c r="Q4" i="13"/>
  <c r="R4" i="13" s="1"/>
  <c r="P4" i="13"/>
  <c r="O4" i="13"/>
  <c r="N4" i="13"/>
  <c r="M4" i="13"/>
  <c r="H4" i="13"/>
  <c r="F4" i="13"/>
  <c r="G4" i="13" s="1"/>
  <c r="U4" i="13" s="1"/>
  <c r="P3" i="13"/>
  <c r="O3" i="13"/>
  <c r="T3" i="13" s="1"/>
  <c r="N3" i="13"/>
  <c r="S3" i="13" s="1"/>
  <c r="M3" i="13"/>
  <c r="Q3" i="13" s="1"/>
  <c r="R3" i="13" s="1"/>
  <c r="H3" i="13"/>
  <c r="F3" i="13"/>
  <c r="G3" i="13" s="1"/>
  <c r="U3" i="13" s="1"/>
  <c r="S2" i="13"/>
  <c r="R2" i="13"/>
  <c r="Q2" i="13"/>
  <c r="P2" i="13"/>
  <c r="O2" i="13"/>
  <c r="O40" i="13" s="1"/>
  <c r="N2" i="13"/>
  <c r="N40" i="13" s="1"/>
  <c r="M2" i="13"/>
  <c r="H2" i="13"/>
  <c r="F2" i="13" s="1"/>
  <c r="G2" i="13" s="1"/>
  <c r="U2" i="13" s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" i="1"/>
  <c r="H2" i="1"/>
  <c r="F2" i="1" s="1"/>
  <c r="G2" i="1" s="1"/>
  <c r="O2" i="1"/>
  <c r="P10" i="1"/>
  <c r="P19" i="1"/>
  <c r="H3" i="1"/>
  <c r="F3" i="1" s="1"/>
  <c r="G3" i="1" s="1"/>
  <c r="H4" i="1"/>
  <c r="F4" i="1" s="1"/>
  <c r="G4" i="1" s="1"/>
  <c r="H5" i="1"/>
  <c r="F5" i="1" s="1"/>
  <c r="G5" i="1" s="1"/>
  <c r="H6" i="1"/>
  <c r="F6" i="1" s="1"/>
  <c r="G6" i="1" s="1"/>
  <c r="H7" i="1"/>
  <c r="F7" i="1" s="1"/>
  <c r="G7" i="1" s="1"/>
  <c r="H8" i="1"/>
  <c r="F8" i="1" s="1"/>
  <c r="G8" i="1" s="1"/>
  <c r="H9" i="1"/>
  <c r="F9" i="1" s="1"/>
  <c r="G9" i="1" s="1"/>
  <c r="H10" i="1"/>
  <c r="F10" i="1" s="1"/>
  <c r="G10" i="1" s="1"/>
  <c r="H11" i="1"/>
  <c r="F11" i="1" s="1"/>
  <c r="G11" i="1" s="1"/>
  <c r="H12" i="1"/>
  <c r="F12" i="1" s="1"/>
  <c r="G12" i="1" s="1"/>
  <c r="H13" i="1"/>
  <c r="F13" i="1" s="1"/>
  <c r="G13" i="1" s="1"/>
  <c r="H14" i="1"/>
  <c r="F14" i="1" s="1"/>
  <c r="G14" i="1" s="1"/>
  <c r="H15" i="1"/>
  <c r="F15" i="1" s="1"/>
  <c r="G15" i="1" s="1"/>
  <c r="H16" i="1"/>
  <c r="F16" i="1" s="1"/>
  <c r="G16" i="1" s="1"/>
  <c r="H17" i="1"/>
  <c r="F17" i="1" s="1"/>
  <c r="G17" i="1" s="1"/>
  <c r="H18" i="1"/>
  <c r="F18" i="1" s="1"/>
  <c r="G18" i="1" s="1"/>
  <c r="H19" i="1"/>
  <c r="F19" i="1" s="1"/>
  <c r="G19" i="1" s="1"/>
  <c r="U19" i="1" s="1"/>
  <c r="H20" i="1"/>
  <c r="F20" i="1" s="1"/>
  <c r="G20" i="1" s="1"/>
  <c r="H21" i="1"/>
  <c r="F21" i="1" s="1"/>
  <c r="G21" i="1" s="1"/>
  <c r="H22" i="1"/>
  <c r="F22" i="1" s="1"/>
  <c r="G22" i="1" s="1"/>
  <c r="H23" i="1"/>
  <c r="F23" i="1" s="1"/>
  <c r="G23" i="1" s="1"/>
  <c r="H24" i="1"/>
  <c r="F24" i="1" s="1"/>
  <c r="G24" i="1" s="1"/>
  <c r="H25" i="1"/>
  <c r="F25" i="1" s="1"/>
  <c r="G25" i="1" s="1"/>
  <c r="H26" i="1"/>
  <c r="F26" i="1" s="1"/>
  <c r="G26" i="1" s="1"/>
  <c r="H27" i="1"/>
  <c r="F27" i="1" s="1"/>
  <c r="G27" i="1" s="1"/>
  <c r="H28" i="1"/>
  <c r="F28" i="1" s="1"/>
  <c r="G28" i="1" s="1"/>
  <c r="H29" i="1"/>
  <c r="F29" i="1" s="1"/>
  <c r="G29" i="1" s="1"/>
  <c r="H30" i="1"/>
  <c r="F30" i="1" s="1"/>
  <c r="G30" i="1" s="1"/>
  <c r="H31" i="1"/>
  <c r="F31" i="1" s="1"/>
  <c r="G31" i="1" s="1"/>
  <c r="H32" i="1"/>
  <c r="F32" i="1" s="1"/>
  <c r="G32" i="1" s="1"/>
  <c r="H33" i="1"/>
  <c r="F33" i="1" s="1"/>
  <c r="G33" i="1" s="1"/>
  <c r="H34" i="1"/>
  <c r="F34" i="1" s="1"/>
  <c r="G34" i="1" s="1"/>
  <c r="H35" i="1"/>
  <c r="F35" i="1" s="1"/>
  <c r="G35" i="1" s="1"/>
  <c r="H36" i="1"/>
  <c r="F36" i="1" s="1"/>
  <c r="G36" i="1" s="1"/>
  <c r="H37" i="1"/>
  <c r="F37" i="1" s="1"/>
  <c r="G37" i="1" s="1"/>
  <c r="H38" i="1"/>
  <c r="F38" i="1" s="1"/>
  <c r="G38" i="1" s="1"/>
  <c r="Q40" i="13" l="1"/>
  <c r="F5" i="13"/>
  <c r="G5" i="13" s="1"/>
  <c r="U5" i="13" s="1"/>
  <c r="F9" i="13"/>
  <c r="G9" i="13" s="1"/>
  <c r="U9" i="13" s="1"/>
  <c r="F13" i="13"/>
  <c r="G13" i="13" s="1"/>
  <c r="U13" i="13" s="1"/>
  <c r="F17" i="13"/>
  <c r="G17" i="13" s="1"/>
  <c r="U17" i="13" s="1"/>
  <c r="F21" i="13"/>
  <c r="G21" i="13" s="1"/>
  <c r="U21" i="13" s="1"/>
  <c r="F25" i="13"/>
  <c r="G25" i="13" s="1"/>
  <c r="U25" i="13" s="1"/>
  <c r="F29" i="13"/>
  <c r="G29" i="13" s="1"/>
  <c r="U29" i="13" s="1"/>
  <c r="F33" i="13"/>
  <c r="G33" i="13" s="1"/>
  <c r="U33" i="13" s="1"/>
  <c r="T2" i="13"/>
  <c r="T6" i="13"/>
  <c r="T10" i="13"/>
  <c r="T14" i="13"/>
  <c r="T18" i="13"/>
  <c r="T22" i="13"/>
  <c r="T26" i="13"/>
  <c r="T30" i="13"/>
  <c r="T34" i="13"/>
  <c r="N39" i="13"/>
  <c r="O39" i="13"/>
  <c r="Q39" i="13"/>
  <c r="U10" i="1"/>
  <c r="R2" i="1" l="1"/>
  <c r="P3" i="1"/>
  <c r="U3" i="1" s="1"/>
  <c r="P4" i="1"/>
  <c r="U4" i="1" s="1"/>
  <c r="P5" i="1"/>
  <c r="U5" i="1" s="1"/>
  <c r="P6" i="1"/>
  <c r="U6" i="1" s="1"/>
  <c r="P7" i="1"/>
  <c r="U7" i="1" s="1"/>
  <c r="P8" i="1"/>
  <c r="U8" i="1" s="1"/>
  <c r="P9" i="1"/>
  <c r="U9" i="1" s="1"/>
  <c r="P11" i="1"/>
  <c r="U11" i="1" s="1"/>
  <c r="P12" i="1"/>
  <c r="U12" i="1" s="1"/>
  <c r="P13" i="1"/>
  <c r="U13" i="1" s="1"/>
  <c r="P14" i="1"/>
  <c r="U14" i="1" s="1"/>
  <c r="P15" i="1"/>
  <c r="U15" i="1" s="1"/>
  <c r="P16" i="1"/>
  <c r="U16" i="1" s="1"/>
  <c r="P17" i="1"/>
  <c r="U17" i="1" s="1"/>
  <c r="P18" i="1"/>
  <c r="U18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2" i="1"/>
  <c r="U2" i="1" s="1"/>
  <c r="T2" i="1"/>
  <c r="O3" i="1"/>
  <c r="T3" i="1" s="1"/>
  <c r="Q3" i="1"/>
  <c r="R3" i="1" s="1"/>
  <c r="O4" i="1"/>
  <c r="T4" i="1" s="1"/>
  <c r="Q4" i="1"/>
  <c r="R4" i="1" s="1"/>
  <c r="O5" i="1"/>
  <c r="T5" i="1" s="1"/>
  <c r="Q5" i="1"/>
  <c r="R5" i="1" s="1"/>
  <c r="O6" i="1"/>
  <c r="T6" i="1" s="1"/>
  <c r="Q6" i="1"/>
  <c r="R6" i="1" s="1"/>
  <c r="O7" i="1"/>
  <c r="T7" i="1" s="1"/>
  <c r="Q7" i="1"/>
  <c r="R7" i="1" s="1"/>
  <c r="O8" i="1"/>
  <c r="T8" i="1" s="1"/>
  <c r="Q8" i="1"/>
  <c r="R8" i="1" s="1"/>
  <c r="O9" i="1"/>
  <c r="T9" i="1" s="1"/>
  <c r="Q9" i="1"/>
  <c r="R9" i="1" s="1"/>
  <c r="O10" i="1"/>
  <c r="T10" i="1" s="1"/>
  <c r="Q10" i="1"/>
  <c r="R10" i="1" s="1"/>
  <c r="O11" i="1"/>
  <c r="T11" i="1" s="1"/>
  <c r="Q11" i="1"/>
  <c r="R11" i="1" s="1"/>
  <c r="O12" i="1"/>
  <c r="T12" i="1" s="1"/>
  <c r="Q12" i="1"/>
  <c r="R12" i="1" s="1"/>
  <c r="O13" i="1"/>
  <c r="T13" i="1" s="1"/>
  <c r="Q13" i="1"/>
  <c r="R13" i="1" s="1"/>
  <c r="O14" i="1"/>
  <c r="T14" i="1" s="1"/>
  <c r="Q14" i="1"/>
  <c r="R14" i="1" s="1"/>
  <c r="O15" i="1"/>
  <c r="T15" i="1" s="1"/>
  <c r="Q15" i="1"/>
  <c r="R15" i="1" s="1"/>
  <c r="O16" i="1"/>
  <c r="T16" i="1" s="1"/>
  <c r="Q16" i="1"/>
  <c r="R16" i="1" s="1"/>
  <c r="O17" i="1"/>
  <c r="T17" i="1" s="1"/>
  <c r="Q17" i="1"/>
  <c r="R17" i="1" s="1"/>
  <c r="O18" i="1"/>
  <c r="T18" i="1" s="1"/>
  <c r="Q18" i="1"/>
  <c r="R18" i="1" s="1"/>
  <c r="O19" i="1"/>
  <c r="T19" i="1" s="1"/>
  <c r="Q19" i="1"/>
  <c r="R19" i="1" s="1"/>
  <c r="O20" i="1"/>
  <c r="T20" i="1" s="1"/>
  <c r="Q20" i="1"/>
  <c r="R20" i="1" s="1"/>
  <c r="O21" i="1"/>
  <c r="T21" i="1" s="1"/>
  <c r="Q21" i="1"/>
  <c r="R21" i="1" s="1"/>
  <c r="O22" i="1"/>
  <c r="T22" i="1" s="1"/>
  <c r="Q22" i="1"/>
  <c r="R22" i="1" s="1"/>
  <c r="O23" i="1"/>
  <c r="T23" i="1" s="1"/>
  <c r="Q23" i="1"/>
  <c r="R23" i="1" s="1"/>
  <c r="O24" i="1"/>
  <c r="T24" i="1" s="1"/>
  <c r="Q24" i="1"/>
  <c r="R24" i="1" s="1"/>
  <c r="O25" i="1"/>
  <c r="T25" i="1" s="1"/>
  <c r="Q25" i="1"/>
  <c r="R25" i="1" s="1"/>
  <c r="O26" i="1"/>
  <c r="T26" i="1" s="1"/>
  <c r="Q26" i="1"/>
  <c r="R26" i="1" s="1"/>
  <c r="O27" i="1"/>
  <c r="T27" i="1" s="1"/>
  <c r="Q27" i="1"/>
  <c r="R27" i="1" s="1"/>
  <c r="O28" i="1"/>
  <c r="T28" i="1" s="1"/>
  <c r="Q28" i="1"/>
  <c r="R28" i="1" s="1"/>
  <c r="O29" i="1"/>
  <c r="T29" i="1" s="1"/>
  <c r="Q29" i="1"/>
  <c r="R29" i="1" s="1"/>
  <c r="O30" i="1"/>
  <c r="T30" i="1" s="1"/>
  <c r="Q30" i="1"/>
  <c r="R30" i="1" s="1"/>
  <c r="O31" i="1"/>
  <c r="T31" i="1" s="1"/>
  <c r="Q31" i="1"/>
  <c r="R31" i="1" s="1"/>
  <c r="O32" i="1"/>
  <c r="T32" i="1" s="1"/>
  <c r="Q32" i="1"/>
  <c r="R32" i="1" s="1"/>
  <c r="O33" i="1"/>
  <c r="T33" i="1" s="1"/>
  <c r="Q33" i="1"/>
  <c r="R33" i="1" s="1"/>
  <c r="O34" i="1"/>
  <c r="T34" i="1" s="1"/>
  <c r="Q34" i="1"/>
  <c r="R34" i="1" s="1"/>
  <c r="O35" i="1"/>
  <c r="T35" i="1" s="1"/>
  <c r="Q35" i="1"/>
  <c r="R35" i="1" s="1"/>
  <c r="O36" i="1"/>
  <c r="T36" i="1" s="1"/>
  <c r="Q36" i="1"/>
  <c r="R36" i="1" s="1"/>
  <c r="O37" i="1"/>
  <c r="T37" i="1" s="1"/>
  <c r="Q37" i="1"/>
  <c r="R37" i="1" s="1"/>
  <c r="O38" i="1"/>
  <c r="T38" i="1" s="1"/>
  <c r="Q38" i="1"/>
  <c r="R38" i="1" s="1"/>
  <c r="N3" i="1"/>
  <c r="S3" i="1" s="1"/>
  <c r="N4" i="1"/>
  <c r="S4" i="1" s="1"/>
  <c r="N5" i="1"/>
  <c r="S5" i="1" s="1"/>
  <c r="N6" i="1"/>
  <c r="S6" i="1" s="1"/>
  <c r="N7" i="1"/>
  <c r="S7" i="1" s="1"/>
  <c r="N8" i="1"/>
  <c r="S8" i="1" s="1"/>
  <c r="N9" i="1"/>
  <c r="S9" i="1" s="1"/>
  <c r="N10" i="1"/>
  <c r="S10" i="1" s="1"/>
  <c r="N11" i="1"/>
  <c r="S11" i="1" s="1"/>
  <c r="N12" i="1"/>
  <c r="S12" i="1" s="1"/>
  <c r="N13" i="1"/>
  <c r="S13" i="1" s="1"/>
  <c r="N14" i="1"/>
  <c r="S14" i="1" s="1"/>
  <c r="N15" i="1"/>
  <c r="S15" i="1" s="1"/>
  <c r="N16" i="1"/>
  <c r="S16" i="1" s="1"/>
  <c r="N17" i="1"/>
  <c r="S17" i="1" s="1"/>
  <c r="N18" i="1"/>
  <c r="S18" i="1" s="1"/>
  <c r="N19" i="1"/>
  <c r="S19" i="1" s="1"/>
  <c r="N20" i="1"/>
  <c r="S20" i="1" s="1"/>
  <c r="N21" i="1"/>
  <c r="S21" i="1" s="1"/>
  <c r="N22" i="1"/>
  <c r="S22" i="1" s="1"/>
  <c r="N23" i="1"/>
  <c r="S23" i="1" s="1"/>
  <c r="N24" i="1"/>
  <c r="S24" i="1" s="1"/>
  <c r="N25" i="1"/>
  <c r="S25" i="1" s="1"/>
  <c r="N26" i="1"/>
  <c r="S26" i="1" s="1"/>
  <c r="N27" i="1"/>
  <c r="S27" i="1" s="1"/>
  <c r="N28" i="1"/>
  <c r="S28" i="1" s="1"/>
  <c r="N29" i="1"/>
  <c r="S29" i="1" s="1"/>
  <c r="N30" i="1"/>
  <c r="S30" i="1" s="1"/>
  <c r="N31" i="1"/>
  <c r="S31" i="1" s="1"/>
  <c r="N32" i="1"/>
  <c r="S32" i="1" s="1"/>
  <c r="N33" i="1"/>
  <c r="S33" i="1" s="1"/>
  <c r="N34" i="1"/>
  <c r="S34" i="1" s="1"/>
  <c r="N35" i="1"/>
  <c r="S35" i="1" s="1"/>
  <c r="N36" i="1"/>
  <c r="S36" i="1" s="1"/>
  <c r="N37" i="1"/>
  <c r="S37" i="1" s="1"/>
  <c r="N38" i="1"/>
  <c r="S38" i="1" s="1"/>
  <c r="N2" i="1"/>
  <c r="S2" i="1" s="1"/>
</calcChain>
</file>

<file path=xl/sharedStrings.xml><?xml version="1.0" encoding="utf-8"?>
<sst xmlns="http://schemas.openxmlformats.org/spreadsheetml/2006/main" count="42" uniqueCount="20">
  <si>
    <t>StructureID</t>
  </si>
  <si>
    <t>DIP_s2(px)</t>
    <phoneticPr fontId="2" type="noConversion"/>
  </si>
  <si>
    <t>DIP_s3(px)</t>
    <phoneticPr fontId="2" type="noConversion"/>
  </si>
  <si>
    <t>DIP_s1(px)</t>
    <phoneticPr fontId="2" type="noConversion"/>
  </si>
  <si>
    <t>DIP_s2(mm)</t>
    <phoneticPr fontId="2" type="noConversion"/>
  </si>
  <si>
    <t>DIP_s3(mm)</t>
    <phoneticPr fontId="2" type="noConversion"/>
  </si>
  <si>
    <t>DIP_a3(deg)</t>
    <phoneticPr fontId="2" type="noConversion"/>
  </si>
  <si>
    <t>DIP_s1(mm)</t>
    <phoneticPr fontId="2" type="noConversion"/>
  </si>
  <si>
    <t>Design_s1(mm)</t>
    <phoneticPr fontId="2" type="noConversion"/>
  </si>
  <si>
    <t>Design_s2(mm)</t>
    <phoneticPr fontId="2" type="noConversion"/>
  </si>
  <si>
    <t>Design_a1(deg)</t>
    <phoneticPr fontId="2" type="noConversion"/>
  </si>
  <si>
    <t>Design_s3(mm)</t>
  </si>
  <si>
    <t>Design_s3(mm)</t>
    <phoneticPr fontId="2" type="noConversion"/>
  </si>
  <si>
    <t>delta_s1</t>
    <phoneticPr fontId="2" type="noConversion"/>
  </si>
  <si>
    <t>delta_s2</t>
    <phoneticPr fontId="2" type="noConversion"/>
  </si>
  <si>
    <t>delta_s3</t>
    <phoneticPr fontId="2" type="noConversion"/>
  </si>
  <si>
    <t>Design_a2(deg)</t>
    <phoneticPr fontId="2" type="noConversion"/>
  </si>
  <si>
    <t>Design_a3(deg)</t>
  </si>
  <si>
    <t>Design_a3(deg)</t>
    <phoneticPr fontId="2" type="noConversion"/>
  </si>
  <si>
    <t>delta_a3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</si>
</sst>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177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1" fontId="0" fillId="0" borderId="3" xfId="0" applyNumberFormat="1" applyBorder="1"/>
    <xf numFmtId="2" fontId="0" fillId="0" borderId="3" xfId="0" applyNumberFormat="1" applyBorder="1"/>
    <xf numFmtId="176" fontId="0" fillId="0" borderId="3" xfId="0" applyNumberFormat="1" applyBorder="1"/>
    <xf numFmtId="177" fontId="0" fillId="0" borderId="3" xfId="0" applyNumberFormat="1" applyBorder="1"/>
    <xf numFmtId="0" fontId="0" fillId="0" borderId="4" xfId="0" applyBorder="1"/>
    <xf numFmtId="1" fontId="0" fillId="0" borderId="4" xfId="0" applyNumberFormat="1" applyBorder="1"/>
    <xf numFmtId="2" fontId="0" fillId="0" borderId="4" xfId="0" applyNumberFormat="1" applyBorder="1"/>
    <xf numFmtId="176" fontId="0" fillId="0" borderId="4" xfId="0" applyNumberFormat="1" applyBorder="1"/>
    <xf numFmtId="177" fontId="0" fillId="0" borderId="4" xfId="0" applyNumberForma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A22" zoomScaleNormal="100" workbookViewId="0">
      <selection activeCell="A39" sqref="A39:XFD40"/>
    </sheetView>
  </sheetViews>
  <sheetFormatPr defaultRowHeight="15"/>
  <cols>
    <col min="1" max="2" width="18.75" bestFit="1" customWidth="1"/>
    <col min="3" max="4" width="18.75" customWidth="1"/>
    <col min="5" max="5" width="18.75" bestFit="1" customWidth="1"/>
    <col min="6" max="8" width="18.75" customWidth="1"/>
    <col min="9" max="9" width="14.375" customWidth="1"/>
    <col min="10" max="11" width="14" customWidth="1"/>
    <col min="12" max="12" width="14.25" customWidth="1"/>
    <col min="13" max="13" width="14" customWidth="1"/>
    <col min="14" max="14" width="14" bestFit="1" customWidth="1"/>
    <col min="15" max="17" width="15.5" bestFit="1" customWidth="1"/>
    <col min="18" max="19" width="10.25" customWidth="1"/>
    <col min="20" max="20" width="9" customWidth="1"/>
    <col min="21" max="21" width="9.375" customWidth="1"/>
  </cols>
  <sheetData>
    <row r="1" spans="1:21">
      <c r="A1" s="1" t="s">
        <v>8</v>
      </c>
      <c r="B1" s="1" t="s">
        <v>9</v>
      </c>
      <c r="C1" s="1" t="s">
        <v>11</v>
      </c>
      <c r="D1" s="1" t="s">
        <v>17</v>
      </c>
      <c r="E1" s="1" t="s">
        <v>10</v>
      </c>
      <c r="F1" s="1" t="s">
        <v>16</v>
      </c>
      <c r="G1" s="1" t="s">
        <v>18</v>
      </c>
      <c r="H1" s="1" t="s">
        <v>12</v>
      </c>
      <c r="I1" s="1" t="s">
        <v>0</v>
      </c>
      <c r="J1" s="1" t="s">
        <v>1</v>
      </c>
      <c r="K1" s="1" t="s">
        <v>2</v>
      </c>
      <c r="L1" s="1" t="s">
        <v>6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6" t="s">
        <v>13</v>
      </c>
      <c r="S1" s="6" t="s">
        <v>14</v>
      </c>
      <c r="T1" s="6" t="s">
        <v>15</v>
      </c>
      <c r="U1" s="6" t="s">
        <v>19</v>
      </c>
    </row>
    <row r="2" spans="1:21">
      <c r="A2">
        <v>0.6</v>
      </c>
      <c r="B2">
        <v>0.6</v>
      </c>
      <c r="C2" s="2">
        <v>0.31058285412302489</v>
      </c>
      <c r="D2" s="4">
        <v>75</v>
      </c>
      <c r="E2">
        <v>30</v>
      </c>
      <c r="F2" s="4">
        <f t="shared" ref="F2:F38" si="0">DEGREES(ACOS((POWER(H2, 2) + POWER(A2, 2) - POWER(B2, 2)) / (2 * H2 *A2)))</f>
        <v>75</v>
      </c>
      <c r="G2" s="4">
        <f t="shared" ref="G2:G38" si="1">180-E2-F2</f>
        <v>75</v>
      </c>
      <c r="H2" s="2">
        <f>SQRT(POWER(A2, 2) + POWER(B2, 2) - 2 * A2 * B2 * COS(RADIANS(E2)))</f>
        <v>0.31058285412302489</v>
      </c>
      <c r="I2">
        <v>2</v>
      </c>
      <c r="J2" s="3">
        <v>542.05226441841523</v>
      </c>
      <c r="K2" s="3">
        <v>272.27407129640181</v>
      </c>
      <c r="L2" s="3">
        <v>92.2</v>
      </c>
      <c r="M2" s="2">
        <f>SQRT(POWER(K2, 2) + POWER(J2, 2) - 2 * J2 * K2 * COS(RADIANS(L2)))</f>
        <v>615.86109902439557</v>
      </c>
      <c r="N2" s="2">
        <f>J2/1.12/1000</f>
        <v>0.48397523608787069</v>
      </c>
      <c r="O2" s="2">
        <f>K2/1.12/1000</f>
        <v>0.24310184937178733</v>
      </c>
      <c r="P2" s="2">
        <f>L2</f>
        <v>92.2</v>
      </c>
      <c r="Q2" s="2">
        <f>M2/1.12/1000</f>
        <v>0.54987598127178172</v>
      </c>
      <c r="R2" s="5">
        <f t="shared" ref="R2:R38" si="2">A2-Q2</f>
        <v>5.0124018728218256E-2</v>
      </c>
      <c r="S2" s="5">
        <f t="shared" ref="S2:S38" si="3">(B2-N2)/B2</f>
        <v>0.19337460652021549</v>
      </c>
      <c r="T2" s="5">
        <f>(H2-O2)/H2</f>
        <v>0.21727215091051894</v>
      </c>
      <c r="U2" s="5">
        <f>G2-P2</f>
        <v>-17.200000000000003</v>
      </c>
    </row>
    <row r="3" spans="1:21">
      <c r="A3" s="7">
        <v>0.6</v>
      </c>
      <c r="B3" s="7">
        <v>0.6</v>
      </c>
      <c r="C3" s="9">
        <v>0.31058285412302489</v>
      </c>
      <c r="D3" s="8">
        <v>75</v>
      </c>
      <c r="E3" s="7">
        <v>30</v>
      </c>
      <c r="F3" s="8">
        <f t="shared" si="0"/>
        <v>75</v>
      </c>
      <c r="G3" s="8">
        <f t="shared" si="1"/>
        <v>75</v>
      </c>
      <c r="H3" s="9">
        <f t="shared" ref="H3:H38" si="4">SQRT(POWER(A3, 2) + POWER(B3, 2) - 2 * A3 * B3 * COS(RADIANS(E3)))</f>
        <v>0.31058285412302489</v>
      </c>
      <c r="I3" s="7">
        <v>4</v>
      </c>
      <c r="J3" s="10">
        <v>541.01528560003703</v>
      </c>
      <c r="K3" s="10">
        <v>275.56394598851972</v>
      </c>
      <c r="L3" s="10">
        <v>94</v>
      </c>
      <c r="M3" s="2">
        <f t="shared" ref="M3:M38" si="5">SQRT(POWER(K3, 2) + POWER(J3, 2) - 2 * J3 * K3 * COS(RADIANS(L3)))</f>
        <v>624.04504538302615</v>
      </c>
      <c r="N3" s="9">
        <f t="shared" ref="N3:N38" si="6">J3/1.12/1000</f>
        <v>0.48304936214289018</v>
      </c>
      <c r="O3" s="9">
        <f t="shared" ref="O3:Q14" si="7">K3/1.12/1000</f>
        <v>0.24603923748974973</v>
      </c>
      <c r="P3" s="9">
        <f t="shared" ref="P3:P38" si="8">L3</f>
        <v>94</v>
      </c>
      <c r="Q3" s="9">
        <f t="shared" si="7"/>
        <v>0.55718307623484475</v>
      </c>
      <c r="R3" s="11">
        <f t="shared" si="2"/>
        <v>4.2816923765155224E-2</v>
      </c>
      <c r="S3" s="11">
        <f t="shared" si="3"/>
        <v>0.19491772976184968</v>
      </c>
      <c r="T3" s="11">
        <f t="shared" ref="T3:T38" si="9">(H3-O3)/H3</f>
        <v>0.20781448742727052</v>
      </c>
      <c r="U3" s="11">
        <f t="shared" ref="U3:U38" si="10">G3-P3</f>
        <v>-19</v>
      </c>
    </row>
    <row r="4" spans="1:21">
      <c r="A4">
        <v>0.6</v>
      </c>
      <c r="B4">
        <v>0.6</v>
      </c>
      <c r="C4" s="2">
        <v>0.6</v>
      </c>
      <c r="D4" s="4">
        <v>60.000000000000007</v>
      </c>
      <c r="E4">
        <v>60</v>
      </c>
      <c r="F4" s="4">
        <f t="shared" si="0"/>
        <v>59.999999999999993</v>
      </c>
      <c r="G4" s="4">
        <f t="shared" si="1"/>
        <v>60.000000000000007</v>
      </c>
      <c r="H4" s="2">
        <f t="shared" si="4"/>
        <v>0.6</v>
      </c>
      <c r="I4">
        <v>1</v>
      </c>
      <c r="J4" s="3">
        <v>477.27357598412522</v>
      </c>
      <c r="K4" s="3">
        <v>543.66549568787696</v>
      </c>
      <c r="L4" s="3">
        <v>73.2</v>
      </c>
      <c r="M4" s="2">
        <f t="shared" si="5"/>
        <v>611.03840228558977</v>
      </c>
      <c r="N4" s="2">
        <f t="shared" si="6"/>
        <v>0.42613712141439747</v>
      </c>
      <c r="O4" s="2">
        <f t="shared" si="7"/>
        <v>0.48541562114989012</v>
      </c>
      <c r="P4" s="2">
        <f t="shared" si="8"/>
        <v>73.2</v>
      </c>
      <c r="Q4" s="2">
        <f t="shared" si="7"/>
        <v>0.54557000204070505</v>
      </c>
      <c r="R4" s="5">
        <f t="shared" si="2"/>
        <v>5.4429997959294929E-2</v>
      </c>
      <c r="S4" s="5">
        <f t="shared" si="3"/>
        <v>0.28977146430933753</v>
      </c>
      <c r="T4" s="5">
        <f t="shared" si="9"/>
        <v>0.19097396475018311</v>
      </c>
      <c r="U4" s="5">
        <f t="shared" si="10"/>
        <v>-13.199999999999996</v>
      </c>
    </row>
    <row r="5" spans="1:21">
      <c r="A5">
        <v>0.6</v>
      </c>
      <c r="B5">
        <v>0.6</v>
      </c>
      <c r="C5" s="2">
        <v>0.6</v>
      </c>
      <c r="D5" s="4">
        <v>60.000000000000007</v>
      </c>
      <c r="E5">
        <v>60</v>
      </c>
      <c r="F5" s="4">
        <f t="shared" si="0"/>
        <v>59.999999999999993</v>
      </c>
      <c r="G5" s="4">
        <f t="shared" si="1"/>
        <v>60.000000000000007</v>
      </c>
      <c r="H5" s="2">
        <f t="shared" si="4"/>
        <v>0.6</v>
      </c>
      <c r="I5">
        <v>3</v>
      </c>
      <c r="J5" s="3">
        <v>528.38753215131499</v>
      </c>
      <c r="K5" s="3">
        <v>546.25791449803512</v>
      </c>
      <c r="L5" s="3">
        <v>68.2</v>
      </c>
      <c r="M5" s="2">
        <f t="shared" si="5"/>
        <v>602.66983968558918</v>
      </c>
      <c r="N5" s="2">
        <f t="shared" si="6"/>
        <v>0.47177458227795976</v>
      </c>
      <c r="O5" s="2">
        <f t="shared" si="7"/>
        <v>0.48773028080181702</v>
      </c>
      <c r="P5" s="2">
        <f t="shared" si="8"/>
        <v>68.2</v>
      </c>
      <c r="Q5" s="2">
        <f t="shared" si="7"/>
        <v>0.53809807114784747</v>
      </c>
      <c r="R5" s="5">
        <f t="shared" si="2"/>
        <v>6.190192885215251E-2</v>
      </c>
      <c r="S5" s="5">
        <f t="shared" si="3"/>
        <v>0.21370902953673371</v>
      </c>
      <c r="T5" s="5">
        <f t="shared" si="9"/>
        <v>0.18711619866363827</v>
      </c>
      <c r="U5" s="5">
        <f t="shared" si="10"/>
        <v>-8.1999999999999957</v>
      </c>
    </row>
    <row r="6" spans="1:21">
      <c r="A6" s="7">
        <v>0.6</v>
      </c>
      <c r="B6" s="7">
        <v>0.6</v>
      </c>
      <c r="C6" s="9">
        <v>0.6</v>
      </c>
      <c r="D6" s="8">
        <v>60.000000000000007</v>
      </c>
      <c r="E6" s="7">
        <v>60</v>
      </c>
      <c r="F6" s="8">
        <f t="shared" si="0"/>
        <v>59.999999999999993</v>
      </c>
      <c r="G6" s="8">
        <f t="shared" si="1"/>
        <v>60.000000000000007</v>
      </c>
      <c r="H6" s="9">
        <f t="shared" si="4"/>
        <v>0.6</v>
      </c>
      <c r="I6" s="7">
        <v>5</v>
      </c>
      <c r="J6" s="10">
        <v>536.63476032085555</v>
      </c>
      <c r="K6" s="10">
        <v>528.74691908362286</v>
      </c>
      <c r="L6" s="10">
        <v>70.7</v>
      </c>
      <c r="M6" s="2">
        <f t="shared" si="5"/>
        <v>616.43104599803212</v>
      </c>
      <c r="N6" s="9">
        <f t="shared" si="6"/>
        <v>0.47913817885790666</v>
      </c>
      <c r="O6" s="9">
        <f t="shared" si="7"/>
        <v>0.47209546346752035</v>
      </c>
      <c r="P6" s="9">
        <f t="shared" si="8"/>
        <v>70.7</v>
      </c>
      <c r="Q6" s="9">
        <f t="shared" si="7"/>
        <v>0.55038486249824292</v>
      </c>
      <c r="R6" s="11">
        <f t="shared" si="2"/>
        <v>4.9615137501757056E-2</v>
      </c>
      <c r="S6" s="11">
        <f t="shared" si="3"/>
        <v>0.20143636857015554</v>
      </c>
      <c r="T6" s="11">
        <f t="shared" si="9"/>
        <v>0.21317422755413273</v>
      </c>
      <c r="U6" s="11">
        <f t="shared" si="10"/>
        <v>-10.699999999999996</v>
      </c>
    </row>
    <row r="7" spans="1:21">
      <c r="A7">
        <v>0.6</v>
      </c>
      <c r="B7">
        <v>0.6</v>
      </c>
      <c r="C7" s="2">
        <v>0.84852813742385702</v>
      </c>
      <c r="D7" s="4">
        <v>45.000000000000014</v>
      </c>
      <c r="E7">
        <v>90</v>
      </c>
      <c r="F7" s="4">
        <f t="shared" si="0"/>
        <v>44.999999999999986</v>
      </c>
      <c r="G7" s="4">
        <f t="shared" si="1"/>
        <v>45.000000000000014</v>
      </c>
      <c r="H7" s="2">
        <f t="shared" si="4"/>
        <v>0.84852813742385702</v>
      </c>
      <c r="I7">
        <v>1</v>
      </c>
      <c r="J7" s="3">
        <v>466.36149508243392</v>
      </c>
      <c r="K7" s="3">
        <v>756.91047086879905</v>
      </c>
      <c r="L7" s="3">
        <v>53.5</v>
      </c>
      <c r="M7" s="2">
        <f t="shared" si="5"/>
        <v>608.66154452237436</v>
      </c>
      <c r="N7" s="2">
        <f t="shared" si="6"/>
        <v>0.41639419203788736</v>
      </c>
      <c r="O7" s="2">
        <f t="shared" si="7"/>
        <v>0.67581292041857055</v>
      </c>
      <c r="P7" s="2">
        <f t="shared" si="8"/>
        <v>53.5</v>
      </c>
      <c r="Q7" s="2">
        <f t="shared" si="7"/>
        <v>0.54344780760926281</v>
      </c>
      <c r="R7" s="5">
        <f t="shared" si="2"/>
        <v>5.6552192390737166E-2</v>
      </c>
      <c r="S7" s="5">
        <f t="shared" si="3"/>
        <v>0.30600967993685441</v>
      </c>
      <c r="T7" s="5">
        <f t="shared" si="9"/>
        <v>0.20354683526424028</v>
      </c>
      <c r="U7" s="5">
        <f t="shared" si="10"/>
        <v>-8.4999999999999858</v>
      </c>
    </row>
    <row r="8" spans="1:21">
      <c r="A8">
        <v>0.6</v>
      </c>
      <c r="B8">
        <v>0.6</v>
      </c>
      <c r="C8" s="2">
        <v>0.84852813742385702</v>
      </c>
      <c r="D8" s="4">
        <v>45.000000000000014</v>
      </c>
      <c r="E8">
        <v>90</v>
      </c>
      <c r="F8" s="4">
        <f t="shared" si="0"/>
        <v>44.999999999999986</v>
      </c>
      <c r="G8" s="4">
        <f t="shared" si="1"/>
        <v>45.000000000000014</v>
      </c>
      <c r="H8" s="2">
        <f t="shared" si="4"/>
        <v>0.84852813742385702</v>
      </c>
      <c r="I8">
        <v>3</v>
      </c>
      <c r="J8" s="3">
        <v>519.32795538337314</v>
      </c>
      <c r="K8" s="3">
        <v>762.52802745466681</v>
      </c>
      <c r="L8" s="3">
        <v>54.1</v>
      </c>
      <c r="M8" s="2">
        <f t="shared" si="5"/>
        <v>621.88513688389526</v>
      </c>
      <c r="N8" s="2">
        <f t="shared" si="6"/>
        <v>0.46368567444944031</v>
      </c>
      <c r="O8" s="2">
        <f t="shared" si="7"/>
        <v>0.68082859594166678</v>
      </c>
      <c r="P8" s="2">
        <f t="shared" si="8"/>
        <v>54.1</v>
      </c>
      <c r="Q8" s="2">
        <f t="shared" si="7"/>
        <v>0.55525458650347792</v>
      </c>
      <c r="R8" s="5">
        <f t="shared" si="2"/>
        <v>4.4745413496522057E-2</v>
      </c>
      <c r="S8" s="5">
        <f t="shared" si="3"/>
        <v>0.22719054258426613</v>
      </c>
      <c r="T8" s="5">
        <f t="shared" si="9"/>
        <v>0.19763580497321909</v>
      </c>
      <c r="U8" s="5">
        <f t="shared" si="10"/>
        <v>-9.0999999999999872</v>
      </c>
    </row>
    <row r="9" spans="1:21">
      <c r="A9" s="7">
        <v>0.6</v>
      </c>
      <c r="B9" s="7">
        <v>0.6</v>
      </c>
      <c r="C9" s="9">
        <v>0.84852813742385702</v>
      </c>
      <c r="D9" s="8">
        <v>45.000000000000014</v>
      </c>
      <c r="E9" s="7">
        <v>90</v>
      </c>
      <c r="F9" s="8">
        <f t="shared" si="0"/>
        <v>44.999999999999986</v>
      </c>
      <c r="G9" s="8">
        <f t="shared" si="1"/>
        <v>45.000000000000014</v>
      </c>
      <c r="H9" s="9">
        <f t="shared" si="4"/>
        <v>0.84852813742385702</v>
      </c>
      <c r="I9" s="7">
        <v>5</v>
      </c>
      <c r="J9" s="10">
        <v>491.82206607203221</v>
      </c>
      <c r="K9" s="10">
        <v>727.25964046123761</v>
      </c>
      <c r="L9" s="10">
        <v>56.7</v>
      </c>
      <c r="M9" s="2">
        <f t="shared" si="5"/>
        <v>614.85282626859441</v>
      </c>
      <c r="N9" s="9">
        <f t="shared" si="6"/>
        <v>0.43912684470717156</v>
      </c>
      <c r="O9" s="9">
        <f t="shared" si="7"/>
        <v>0.64933896469753349</v>
      </c>
      <c r="P9" s="9">
        <f t="shared" si="8"/>
        <v>56.7</v>
      </c>
      <c r="Q9" s="9">
        <f t="shared" si="7"/>
        <v>0.54897573773981645</v>
      </c>
      <c r="R9" s="11">
        <f t="shared" si="2"/>
        <v>5.1024262260183528E-2</v>
      </c>
      <c r="S9" s="11">
        <f t="shared" si="3"/>
        <v>0.26812192548804736</v>
      </c>
      <c r="T9" s="11">
        <f t="shared" si="9"/>
        <v>0.23474669128953646</v>
      </c>
      <c r="U9" s="11">
        <f t="shared" si="10"/>
        <v>-11.699999999999989</v>
      </c>
    </row>
    <row r="10" spans="1:21">
      <c r="A10">
        <v>0.6</v>
      </c>
      <c r="B10">
        <v>0.9</v>
      </c>
      <c r="C10" s="2">
        <v>0.48445078585219159</v>
      </c>
      <c r="D10" s="4">
        <v>38.261966199709804</v>
      </c>
      <c r="E10">
        <v>30</v>
      </c>
      <c r="F10" s="4">
        <f t="shared" si="0"/>
        <v>111.7380338002902</v>
      </c>
      <c r="G10" s="4">
        <f t="shared" si="1"/>
        <v>38.261966199709804</v>
      </c>
      <c r="H10" s="2">
        <f t="shared" si="4"/>
        <v>0.48445078585219159</v>
      </c>
      <c r="I10">
        <v>2</v>
      </c>
      <c r="J10" s="3">
        <v>692.40119324002228</v>
      </c>
      <c r="K10" s="3">
        <v>313.36145900178673</v>
      </c>
      <c r="L10" s="3">
        <v>62.7</v>
      </c>
      <c r="M10" s="2">
        <f t="shared" si="5"/>
        <v>615.29402193471276</v>
      </c>
      <c r="N10" s="2">
        <f t="shared" si="6"/>
        <v>0.61821535110716275</v>
      </c>
      <c r="O10" s="2">
        <f t="shared" si="7"/>
        <v>0.27978701696588099</v>
      </c>
      <c r="P10" s="2">
        <f>L10</f>
        <v>62.7</v>
      </c>
      <c r="Q10" s="2">
        <f t="shared" si="7"/>
        <v>0.54936966244170771</v>
      </c>
      <c r="R10" s="5">
        <f t="shared" si="2"/>
        <v>5.0630337558292271E-2</v>
      </c>
      <c r="S10" s="5">
        <f t="shared" si="3"/>
        <v>0.31309405432537474</v>
      </c>
      <c r="T10" s="5">
        <f t="shared" si="9"/>
        <v>0.42246555246326828</v>
      </c>
      <c r="U10" s="5">
        <f>G10-P10</f>
        <v>-24.438033800290199</v>
      </c>
    </row>
    <row r="11" spans="1:21">
      <c r="A11">
        <v>0.6</v>
      </c>
      <c r="B11">
        <v>0.9</v>
      </c>
      <c r="C11" s="2">
        <v>0.48445078585219159</v>
      </c>
      <c r="D11" s="4">
        <v>38.261966199709804</v>
      </c>
      <c r="E11">
        <v>30</v>
      </c>
      <c r="F11" s="4">
        <f t="shared" si="0"/>
        <v>111.7380338002902</v>
      </c>
      <c r="G11" s="4">
        <f t="shared" si="1"/>
        <v>38.261966199709804</v>
      </c>
      <c r="H11" s="2">
        <f t="shared" si="4"/>
        <v>0.48445078585219159</v>
      </c>
      <c r="I11">
        <v>4</v>
      </c>
      <c r="J11" s="3">
        <v>690.97886663843224</v>
      </c>
      <c r="K11" s="3">
        <v>311.02863214216319</v>
      </c>
      <c r="L11" s="3">
        <v>60.6</v>
      </c>
      <c r="M11" s="2">
        <f t="shared" si="5"/>
        <v>602.64933225422703</v>
      </c>
      <c r="N11" s="2">
        <f t="shared" si="6"/>
        <v>0.6169454166414573</v>
      </c>
      <c r="O11" s="2">
        <f t="shared" si="7"/>
        <v>0.27770413584121711</v>
      </c>
      <c r="P11" s="2">
        <f t="shared" si="8"/>
        <v>60.6</v>
      </c>
      <c r="Q11" s="2">
        <f t="shared" si="7"/>
        <v>0.53807976094127408</v>
      </c>
      <c r="R11" s="5">
        <f t="shared" si="2"/>
        <v>6.1920239058725901E-2</v>
      </c>
      <c r="S11" s="5">
        <f t="shared" si="3"/>
        <v>0.314505092620603</v>
      </c>
      <c r="T11" s="5">
        <f t="shared" si="9"/>
        <v>0.42676502144028711</v>
      </c>
      <c r="U11" s="5">
        <f t="shared" si="10"/>
        <v>-22.338033800290198</v>
      </c>
    </row>
    <row r="12" spans="1:21">
      <c r="A12">
        <v>0.6</v>
      </c>
      <c r="B12">
        <v>0.9</v>
      </c>
      <c r="C12" s="2">
        <v>0.48445078585219159</v>
      </c>
      <c r="D12" s="4">
        <v>38.261966199709804</v>
      </c>
      <c r="E12">
        <v>30</v>
      </c>
      <c r="F12" s="4">
        <f t="shared" si="0"/>
        <v>111.7380338002902</v>
      </c>
      <c r="G12" s="4">
        <f t="shared" si="1"/>
        <v>38.261966199709804</v>
      </c>
      <c r="H12" s="2">
        <f t="shared" si="4"/>
        <v>0.48445078585219159</v>
      </c>
      <c r="I12">
        <v>6</v>
      </c>
      <c r="J12" s="3">
        <v>731.06130979585419</v>
      </c>
      <c r="K12" s="3">
        <v>281.1507307958484</v>
      </c>
      <c r="L12" s="3">
        <v>58.6</v>
      </c>
      <c r="M12" s="2">
        <f t="shared" si="5"/>
        <v>631.91880607554333</v>
      </c>
      <c r="N12" s="2">
        <f t="shared" si="6"/>
        <v>0.65273331231772691</v>
      </c>
      <c r="O12" s="2">
        <f t="shared" si="7"/>
        <v>0.25102743821057893</v>
      </c>
      <c r="P12" s="2">
        <f t="shared" si="8"/>
        <v>58.6</v>
      </c>
      <c r="Q12" s="2">
        <f t="shared" si="7"/>
        <v>0.56421321971030647</v>
      </c>
      <c r="R12" s="5">
        <f t="shared" si="2"/>
        <v>3.5786780289693509E-2</v>
      </c>
      <c r="S12" s="5">
        <f t="shared" si="3"/>
        <v>0.27474076409141457</v>
      </c>
      <c r="T12" s="5">
        <f t="shared" si="9"/>
        <v>0.48183087830273708</v>
      </c>
      <c r="U12" s="5">
        <f t="shared" si="10"/>
        <v>-20.338033800290198</v>
      </c>
    </row>
    <row r="13" spans="1:21">
      <c r="A13" s="12">
        <v>0.6</v>
      </c>
      <c r="B13" s="12">
        <v>0.9</v>
      </c>
      <c r="C13" s="14">
        <v>0.79372539331937708</v>
      </c>
      <c r="D13" s="13">
        <v>40.893394649130897</v>
      </c>
      <c r="E13" s="12">
        <v>60</v>
      </c>
      <c r="F13" s="13">
        <f t="shared" si="0"/>
        <v>79.106605350869103</v>
      </c>
      <c r="G13" s="13">
        <f t="shared" si="1"/>
        <v>40.893394649130897</v>
      </c>
      <c r="H13" s="14">
        <f t="shared" si="4"/>
        <v>0.79372539331937708</v>
      </c>
      <c r="I13" s="12">
        <v>2</v>
      </c>
      <c r="J13" s="15">
        <v>738.75230439739164</v>
      </c>
      <c r="K13" s="15">
        <v>670.41440583420058</v>
      </c>
      <c r="L13" s="15">
        <v>51.7</v>
      </c>
      <c r="M13" s="2">
        <f t="shared" si="5"/>
        <v>617.49031457095771</v>
      </c>
      <c r="N13" s="14">
        <f t="shared" si="6"/>
        <v>0.65960027178338532</v>
      </c>
      <c r="O13" s="14">
        <f t="shared" si="7"/>
        <v>0.59858429092339327</v>
      </c>
      <c r="P13" s="14">
        <f t="shared" si="8"/>
        <v>51.7</v>
      </c>
      <c r="Q13" s="14">
        <f t="shared" si="7"/>
        <v>0.55133063800978355</v>
      </c>
      <c r="R13" s="16">
        <f t="shared" si="2"/>
        <v>4.8669361990216431E-2</v>
      </c>
      <c r="S13" s="16">
        <f t="shared" si="3"/>
        <v>0.26711080912957191</v>
      </c>
      <c r="T13" s="16">
        <f t="shared" si="9"/>
        <v>0.24585467976512559</v>
      </c>
      <c r="U13" s="16">
        <f>G13-P13</f>
        <v>-10.806605350869106</v>
      </c>
    </row>
    <row r="14" spans="1:21">
      <c r="A14">
        <v>0.6</v>
      </c>
      <c r="B14">
        <v>0.9</v>
      </c>
      <c r="C14" s="2">
        <v>0.79372539331937708</v>
      </c>
      <c r="D14" s="4">
        <v>40.893394649130897</v>
      </c>
      <c r="E14">
        <v>60</v>
      </c>
      <c r="F14" s="4">
        <f t="shared" si="0"/>
        <v>79.106605350869103</v>
      </c>
      <c r="G14" s="4">
        <f t="shared" si="1"/>
        <v>40.893394649130897</v>
      </c>
      <c r="H14" s="2">
        <f t="shared" si="4"/>
        <v>0.79372539331937708</v>
      </c>
      <c r="I14">
        <v>4</v>
      </c>
      <c r="J14" s="3">
        <v>782.38662376813795</v>
      </c>
      <c r="K14" s="3">
        <v>659.5203642712097</v>
      </c>
      <c r="L14" s="3">
        <v>50.7</v>
      </c>
      <c r="M14" s="2">
        <f t="shared" si="5"/>
        <v>627.25353087286396</v>
      </c>
      <c r="N14" s="2">
        <f t="shared" si="6"/>
        <v>0.69855948550726599</v>
      </c>
      <c r="O14" s="2">
        <f t="shared" si="7"/>
        <v>0.5888574680992944</v>
      </c>
      <c r="P14" s="2">
        <f t="shared" si="8"/>
        <v>50.7</v>
      </c>
      <c r="Q14" s="2">
        <f t="shared" si="7"/>
        <v>0.56004779542219985</v>
      </c>
      <c r="R14" s="5">
        <f t="shared" si="2"/>
        <v>3.9952204577800132E-2</v>
      </c>
      <c r="S14" s="5">
        <f t="shared" si="3"/>
        <v>0.22382279388081558</v>
      </c>
      <c r="T14" s="5">
        <f t="shared" si="9"/>
        <v>0.25810932464100778</v>
      </c>
      <c r="U14" s="5">
        <f t="shared" si="10"/>
        <v>-9.8066053508691056</v>
      </c>
    </row>
    <row r="15" spans="1:21">
      <c r="A15">
        <v>0.6</v>
      </c>
      <c r="B15">
        <v>0.9</v>
      </c>
      <c r="C15" s="2">
        <v>0.79372539331937708</v>
      </c>
      <c r="D15" s="4">
        <v>40.893394649130897</v>
      </c>
      <c r="E15">
        <v>60</v>
      </c>
      <c r="F15" s="4">
        <f t="shared" si="0"/>
        <v>79.106605350869103</v>
      </c>
      <c r="G15" s="4">
        <f t="shared" si="1"/>
        <v>40.893394649130897</v>
      </c>
      <c r="H15" s="2">
        <f t="shared" si="4"/>
        <v>0.79372539331937708</v>
      </c>
      <c r="I15">
        <v>6</v>
      </c>
      <c r="J15" s="3">
        <v>775.59846462990981</v>
      </c>
      <c r="K15" s="3">
        <v>672.54710569713325</v>
      </c>
      <c r="L15" s="3">
        <v>49.9</v>
      </c>
      <c r="M15" s="2">
        <f t="shared" si="5"/>
        <v>617.97141947474483</v>
      </c>
      <c r="N15" s="2">
        <f t="shared" si="6"/>
        <v>0.69249862913384796</v>
      </c>
      <c r="O15" s="2">
        <f t="shared" ref="O15:O38" si="11">K15/1.12/1000</f>
        <v>0.60048848722958315</v>
      </c>
      <c r="P15" s="2">
        <f t="shared" si="8"/>
        <v>49.9</v>
      </c>
      <c r="Q15" s="2">
        <f t="shared" ref="Q15:Q38" si="12">M15/1.12/1000</f>
        <v>0.55176019595959358</v>
      </c>
      <c r="R15" s="5">
        <f t="shared" si="2"/>
        <v>4.8239804040406398E-2</v>
      </c>
      <c r="S15" s="5">
        <f t="shared" si="3"/>
        <v>0.23055707874016895</v>
      </c>
      <c r="T15" s="5">
        <f t="shared" si="9"/>
        <v>0.24345561792054168</v>
      </c>
      <c r="U15" s="5">
        <f t="shared" si="10"/>
        <v>-9.0066053508691013</v>
      </c>
    </row>
    <row r="16" spans="1:21">
      <c r="A16" s="7">
        <v>0.6</v>
      </c>
      <c r="B16" s="7">
        <v>0.9</v>
      </c>
      <c r="C16" s="9">
        <v>0.79372539331937708</v>
      </c>
      <c r="D16" s="8">
        <v>40.893394649130897</v>
      </c>
      <c r="E16" s="7">
        <v>60</v>
      </c>
      <c r="F16" s="8">
        <f t="shared" si="0"/>
        <v>79.106605350869103</v>
      </c>
      <c r="G16" s="8">
        <f t="shared" si="1"/>
        <v>40.893394649130897</v>
      </c>
      <c r="H16" s="9">
        <f t="shared" si="4"/>
        <v>0.79372539331937708</v>
      </c>
      <c r="I16" s="7">
        <v>8</v>
      </c>
      <c r="J16" s="10">
        <v>781.18268497829001</v>
      </c>
      <c r="K16" s="10">
        <v>605.97814007177737</v>
      </c>
      <c r="L16" s="10">
        <v>55</v>
      </c>
      <c r="M16" s="2">
        <f t="shared" si="5"/>
        <v>659.1032472599984</v>
      </c>
      <c r="N16" s="9">
        <f t="shared" si="6"/>
        <v>0.69748454015918737</v>
      </c>
      <c r="O16" s="9">
        <f t="shared" si="11"/>
        <v>0.54105191077837267</v>
      </c>
      <c r="P16" s="9">
        <f t="shared" si="8"/>
        <v>55</v>
      </c>
      <c r="Q16" s="9">
        <f t="shared" si="12"/>
        <v>0.58848504219642717</v>
      </c>
      <c r="R16" s="11">
        <f t="shared" si="2"/>
        <v>1.1514957803572812E-2</v>
      </c>
      <c r="S16" s="11">
        <f t="shared" si="3"/>
        <v>0.22501717760090295</v>
      </c>
      <c r="T16" s="11">
        <f t="shared" si="9"/>
        <v>0.31833866557338975</v>
      </c>
      <c r="U16" s="11">
        <f t="shared" si="10"/>
        <v>-14.106605350869103</v>
      </c>
    </row>
    <row r="17" spans="1:21">
      <c r="A17" s="12">
        <v>0.6</v>
      </c>
      <c r="B17" s="12">
        <v>0.9</v>
      </c>
      <c r="C17" s="14">
        <v>1.0816653826391966</v>
      </c>
      <c r="D17" s="13">
        <v>33.690067525979785</v>
      </c>
      <c r="E17" s="12">
        <v>90</v>
      </c>
      <c r="F17" s="13">
        <f t="shared" si="0"/>
        <v>56.309932474020215</v>
      </c>
      <c r="G17" s="13">
        <f t="shared" si="1"/>
        <v>33.690067525979785</v>
      </c>
      <c r="H17" s="14">
        <f t="shared" si="4"/>
        <v>1.0816653826391966</v>
      </c>
      <c r="I17" s="12">
        <v>1</v>
      </c>
      <c r="J17" s="15">
        <v>711.11094270963451</v>
      </c>
      <c r="K17" s="15">
        <v>955.59793542407431</v>
      </c>
      <c r="L17" s="15">
        <v>40.700000000000003</v>
      </c>
      <c r="M17" s="2">
        <f t="shared" si="5"/>
        <v>623.28710316980323</v>
      </c>
      <c r="N17" s="14">
        <f t="shared" si="6"/>
        <v>0.63492048456217365</v>
      </c>
      <c r="O17" s="14">
        <f t="shared" si="11"/>
        <v>0.85321244234292337</v>
      </c>
      <c r="P17" s="14">
        <f t="shared" si="8"/>
        <v>40.700000000000003</v>
      </c>
      <c r="Q17" s="14">
        <f t="shared" si="12"/>
        <v>0.55650634211589567</v>
      </c>
      <c r="R17" s="16">
        <f t="shared" si="2"/>
        <v>4.3493657884104309E-2</v>
      </c>
      <c r="S17" s="16">
        <f t="shared" si="3"/>
        <v>0.29453279493091816</v>
      </c>
      <c r="T17" s="16">
        <f t="shared" si="9"/>
        <v>0.21120481801762225</v>
      </c>
      <c r="U17" s="16">
        <f t="shared" si="10"/>
        <v>-7.0099324740202178</v>
      </c>
    </row>
    <row r="18" spans="1:21">
      <c r="A18" s="7">
        <v>0.6</v>
      </c>
      <c r="B18" s="7">
        <v>0.9</v>
      </c>
      <c r="C18" s="9">
        <v>1.0816653826391966</v>
      </c>
      <c r="D18" s="8">
        <v>33.690067525979785</v>
      </c>
      <c r="E18" s="7">
        <v>90</v>
      </c>
      <c r="F18" s="8">
        <f t="shared" si="0"/>
        <v>56.309932474020215</v>
      </c>
      <c r="G18" s="8">
        <f t="shared" si="1"/>
        <v>33.690067525979785</v>
      </c>
      <c r="H18" s="9">
        <f t="shared" si="4"/>
        <v>1.0816653826391966</v>
      </c>
      <c r="I18" s="7">
        <v>3</v>
      </c>
      <c r="J18" s="10">
        <v>743.768810062287</v>
      </c>
      <c r="K18" s="10">
        <v>922.68407285278556</v>
      </c>
      <c r="L18" s="10">
        <v>43.9</v>
      </c>
      <c r="M18" s="2">
        <f t="shared" si="5"/>
        <v>644.64090081976747</v>
      </c>
      <c r="N18" s="9">
        <f t="shared" si="6"/>
        <v>0.66407929469847049</v>
      </c>
      <c r="O18" s="9">
        <f t="shared" si="11"/>
        <v>0.82382506504712993</v>
      </c>
      <c r="P18" s="9">
        <f t="shared" si="8"/>
        <v>43.9</v>
      </c>
      <c r="Q18" s="9">
        <f t="shared" si="12"/>
        <v>0.57557223287479231</v>
      </c>
      <c r="R18" s="11">
        <f t="shared" si="2"/>
        <v>2.4427767125207667E-2</v>
      </c>
      <c r="S18" s="11">
        <f t="shared" si="3"/>
        <v>0.26213411700169947</v>
      </c>
      <c r="T18" s="11">
        <f t="shared" si="9"/>
        <v>0.23837345793849138</v>
      </c>
      <c r="U18" s="11">
        <f>G18-P18</f>
        <v>-10.209932474020214</v>
      </c>
    </row>
    <row r="19" spans="1:21">
      <c r="A19" s="12">
        <v>0.9</v>
      </c>
      <c r="B19" s="12">
        <v>0.6</v>
      </c>
      <c r="C19" s="14">
        <v>0.48445078585219159</v>
      </c>
      <c r="D19" s="13">
        <v>111.73803380029017</v>
      </c>
      <c r="E19" s="12">
        <v>30</v>
      </c>
      <c r="F19" s="13">
        <f t="shared" si="0"/>
        <v>38.261966199709839</v>
      </c>
      <c r="G19" s="13">
        <f t="shared" si="1"/>
        <v>111.73803380029017</v>
      </c>
      <c r="H19" s="14">
        <f t="shared" si="4"/>
        <v>0.48445078585219159</v>
      </c>
      <c r="I19" s="12">
        <v>2</v>
      </c>
      <c r="J19" s="15">
        <v>611.48514141285239</v>
      </c>
      <c r="K19" s="15">
        <v>490.35440767405089</v>
      </c>
      <c r="L19" s="15">
        <v>115.6</v>
      </c>
      <c r="M19" s="2">
        <f t="shared" si="5"/>
        <v>934.60073675752778</v>
      </c>
      <c r="N19" s="14">
        <f t="shared" si="6"/>
        <v>0.54596887626147528</v>
      </c>
      <c r="O19" s="14">
        <f t="shared" si="11"/>
        <v>0.43781643542325971</v>
      </c>
      <c r="P19" s="14">
        <f>L19</f>
        <v>115.6</v>
      </c>
      <c r="Q19" s="14">
        <f t="shared" si="12"/>
        <v>0.83446494353350698</v>
      </c>
      <c r="R19" s="16">
        <f t="shared" si="2"/>
        <v>6.5535056466493047E-2</v>
      </c>
      <c r="S19" s="16">
        <f t="shared" si="3"/>
        <v>9.0051872897541171E-2</v>
      </c>
      <c r="T19" s="16">
        <f t="shared" si="9"/>
        <v>9.6262307319613383E-2</v>
      </c>
      <c r="U19" s="16">
        <f t="shared" si="10"/>
        <v>-3.8619661997098262</v>
      </c>
    </row>
    <row r="20" spans="1:21">
      <c r="A20">
        <v>0.9</v>
      </c>
      <c r="B20">
        <v>0.6</v>
      </c>
      <c r="C20" s="2">
        <v>0.48445078585219159</v>
      </c>
      <c r="D20" s="4">
        <v>111.73803380029017</v>
      </c>
      <c r="E20">
        <v>30</v>
      </c>
      <c r="F20" s="4">
        <f t="shared" si="0"/>
        <v>38.261966199709839</v>
      </c>
      <c r="G20" s="4">
        <f t="shared" si="1"/>
        <v>111.73803380029017</v>
      </c>
      <c r="H20" s="2">
        <f t="shared" si="4"/>
        <v>0.48445078585219159</v>
      </c>
      <c r="I20">
        <v>4</v>
      </c>
      <c r="J20" s="3">
        <v>611.46717922786559</v>
      </c>
      <c r="K20" s="3">
        <v>500.97407352525892</v>
      </c>
      <c r="L20" s="3">
        <v>114.2</v>
      </c>
      <c r="M20" s="2">
        <f t="shared" si="5"/>
        <v>935.95401949522375</v>
      </c>
      <c r="N20" s="2">
        <f t="shared" si="6"/>
        <v>0.5459528385963085</v>
      </c>
      <c r="O20" s="2">
        <f t="shared" si="11"/>
        <v>0.44729827993326682</v>
      </c>
      <c r="P20" s="2">
        <f t="shared" si="8"/>
        <v>114.2</v>
      </c>
      <c r="Q20" s="2">
        <f t="shared" si="12"/>
        <v>0.83567323169216401</v>
      </c>
      <c r="R20" s="5">
        <f t="shared" si="2"/>
        <v>6.4326768307836013E-2</v>
      </c>
      <c r="S20" s="5">
        <f t="shared" si="3"/>
        <v>9.0078602339485808E-2</v>
      </c>
      <c r="T20" s="5">
        <f t="shared" si="9"/>
        <v>7.6689948708763556E-2</v>
      </c>
      <c r="U20" s="5">
        <f t="shared" si="10"/>
        <v>-2.4619661997098348</v>
      </c>
    </row>
    <row r="21" spans="1:21">
      <c r="A21" s="7">
        <v>0.9</v>
      </c>
      <c r="B21" s="7">
        <v>0.6</v>
      </c>
      <c r="C21" s="9">
        <v>0.48445078585219159</v>
      </c>
      <c r="D21" s="8">
        <v>111.73803380029017</v>
      </c>
      <c r="E21" s="7">
        <v>30</v>
      </c>
      <c r="F21" s="8">
        <f t="shared" si="0"/>
        <v>38.261966199709839</v>
      </c>
      <c r="G21" s="8">
        <f t="shared" si="1"/>
        <v>111.73803380029017</v>
      </c>
      <c r="H21" s="9">
        <f t="shared" si="4"/>
        <v>0.48445078585219159</v>
      </c>
      <c r="I21" s="7">
        <v>6</v>
      </c>
      <c r="J21" s="10">
        <v>604.22091207465178</v>
      </c>
      <c r="K21" s="10">
        <v>501.67684391017218</v>
      </c>
      <c r="L21" s="10">
        <v>115.1</v>
      </c>
      <c r="M21" s="2">
        <f t="shared" si="5"/>
        <v>934.84346961706035</v>
      </c>
      <c r="N21" s="9">
        <f t="shared" si="6"/>
        <v>0.53948295720951045</v>
      </c>
      <c r="O21" s="9">
        <f t="shared" si="11"/>
        <v>0.4479257534912251</v>
      </c>
      <c r="P21" s="9">
        <f t="shared" si="8"/>
        <v>115.1</v>
      </c>
      <c r="Q21" s="9">
        <f t="shared" si="12"/>
        <v>0.83468166930094667</v>
      </c>
      <c r="R21" s="11">
        <f t="shared" si="2"/>
        <v>6.5318330699053351E-2</v>
      </c>
      <c r="S21" s="11">
        <f t="shared" si="3"/>
        <v>0.10086173798414921</v>
      </c>
      <c r="T21" s="11">
        <f t="shared" si="9"/>
        <v>7.5394722080418849E-2</v>
      </c>
      <c r="U21" s="11">
        <f t="shared" si="10"/>
        <v>-3.3619661997098262</v>
      </c>
    </row>
    <row r="22" spans="1:21">
      <c r="A22" s="12">
        <v>0.9</v>
      </c>
      <c r="B22" s="12">
        <v>0.6</v>
      </c>
      <c r="C22" s="14">
        <v>0.79372539331937708</v>
      </c>
      <c r="D22" s="13">
        <v>79.106605350869103</v>
      </c>
      <c r="E22" s="12">
        <v>60</v>
      </c>
      <c r="F22" s="13">
        <f t="shared" si="0"/>
        <v>40.893394649130897</v>
      </c>
      <c r="G22" s="13">
        <f t="shared" si="1"/>
        <v>79.106605350869103</v>
      </c>
      <c r="H22" s="14">
        <f t="shared" si="4"/>
        <v>0.79372539331937708</v>
      </c>
      <c r="I22" s="12">
        <v>2</v>
      </c>
      <c r="J22" s="15">
        <v>592.82232789835393</v>
      </c>
      <c r="K22" s="15">
        <v>786.53802957368021</v>
      </c>
      <c r="L22" s="15">
        <v>86.1</v>
      </c>
      <c r="M22" s="2">
        <f t="shared" si="5"/>
        <v>952.18297163340901</v>
      </c>
      <c r="N22" s="14">
        <f t="shared" si="6"/>
        <v>0.52930564990924445</v>
      </c>
      <c r="O22" s="14">
        <f t="shared" si="11"/>
        <v>0.70226609783364302</v>
      </c>
      <c r="P22" s="14">
        <f t="shared" si="8"/>
        <v>86.1</v>
      </c>
      <c r="Q22" s="14">
        <f t="shared" si="12"/>
        <v>0.85016336752982946</v>
      </c>
      <c r="R22" s="16">
        <f t="shared" si="2"/>
        <v>4.9836632470170561E-2</v>
      </c>
      <c r="S22" s="16">
        <f t="shared" si="3"/>
        <v>0.11782391681792589</v>
      </c>
      <c r="T22" s="16">
        <f t="shared" si="9"/>
        <v>0.11522788140020224</v>
      </c>
      <c r="U22" s="16">
        <f t="shared" si="10"/>
        <v>-6.9933946491308916</v>
      </c>
    </row>
    <row r="23" spans="1:21">
      <c r="A23">
        <v>0.9</v>
      </c>
      <c r="B23">
        <v>0.6</v>
      </c>
      <c r="C23" s="2">
        <v>0.79372539331937708</v>
      </c>
      <c r="D23" s="4">
        <v>79.106605350869103</v>
      </c>
      <c r="E23">
        <v>60</v>
      </c>
      <c r="F23" s="4">
        <f t="shared" si="0"/>
        <v>40.893394649130897</v>
      </c>
      <c r="G23" s="4">
        <f t="shared" si="1"/>
        <v>79.106605350869103</v>
      </c>
      <c r="H23" s="2">
        <f t="shared" si="4"/>
        <v>0.79372539331937708</v>
      </c>
      <c r="I23">
        <v>4</v>
      </c>
      <c r="J23" s="3">
        <v>593.42696084155261</v>
      </c>
      <c r="K23" s="3">
        <v>793.46027597668785</v>
      </c>
      <c r="L23" s="3">
        <v>83.5</v>
      </c>
      <c r="M23" s="2">
        <f t="shared" si="5"/>
        <v>935.48323015275321</v>
      </c>
      <c r="N23" s="2">
        <f t="shared" si="6"/>
        <v>0.52984550075138626</v>
      </c>
      <c r="O23" s="2">
        <f t="shared" si="11"/>
        <v>0.70844667497918556</v>
      </c>
      <c r="P23" s="2">
        <f t="shared" si="8"/>
        <v>83.5</v>
      </c>
      <c r="Q23" s="2">
        <f t="shared" si="12"/>
        <v>0.83525288406495812</v>
      </c>
      <c r="R23" s="5">
        <f t="shared" si="2"/>
        <v>6.4747115935041899E-2</v>
      </c>
      <c r="S23" s="5">
        <f t="shared" si="3"/>
        <v>0.11692416541435621</v>
      </c>
      <c r="T23" s="5">
        <f t="shared" si="9"/>
        <v>0.10744108612117603</v>
      </c>
      <c r="U23" s="5">
        <f t="shared" si="10"/>
        <v>-4.3933946491308973</v>
      </c>
    </row>
    <row r="24" spans="1:21">
      <c r="A24">
        <v>0.9</v>
      </c>
      <c r="B24">
        <v>0.6</v>
      </c>
      <c r="C24" s="2">
        <v>0.79372539331937708</v>
      </c>
      <c r="D24" s="4">
        <v>79.106605350869103</v>
      </c>
      <c r="E24">
        <v>60</v>
      </c>
      <c r="F24" s="4">
        <f t="shared" si="0"/>
        <v>40.893394649130897</v>
      </c>
      <c r="G24" s="4">
        <f t="shared" si="1"/>
        <v>79.106605350869103</v>
      </c>
      <c r="H24" s="2">
        <f t="shared" si="4"/>
        <v>0.79372539331937708</v>
      </c>
      <c r="I24">
        <v>6</v>
      </c>
      <c r="J24" s="3">
        <v>588.02746593315362</v>
      </c>
      <c r="K24" s="3">
        <v>784.49337270400281</v>
      </c>
      <c r="L24" s="3">
        <v>84.6</v>
      </c>
      <c r="M24" s="2">
        <f t="shared" si="5"/>
        <v>935.08349127301619</v>
      </c>
      <c r="N24" s="2">
        <f t="shared" si="6"/>
        <v>0.52502452315460146</v>
      </c>
      <c r="O24" s="2">
        <f t="shared" si="11"/>
        <v>0.70044051134285967</v>
      </c>
      <c r="P24" s="2">
        <f t="shared" si="8"/>
        <v>84.6</v>
      </c>
      <c r="Q24" s="2">
        <f t="shared" si="12"/>
        <v>0.83489597435090723</v>
      </c>
      <c r="R24" s="5">
        <f t="shared" si="2"/>
        <v>6.5104025649092789E-2</v>
      </c>
      <c r="S24" s="5">
        <f t="shared" si="3"/>
        <v>0.1249591280756642</v>
      </c>
      <c r="T24" s="5">
        <f t="shared" si="9"/>
        <v>0.11752790418660788</v>
      </c>
      <c r="U24" s="5">
        <f t="shared" si="10"/>
        <v>-5.4933946491308916</v>
      </c>
    </row>
    <row r="25" spans="1:21">
      <c r="A25" s="7">
        <v>0.9</v>
      </c>
      <c r="B25" s="7">
        <v>0.6</v>
      </c>
      <c r="C25" s="9">
        <v>0.79372539331937708</v>
      </c>
      <c r="D25" s="8">
        <v>79.106605350869103</v>
      </c>
      <c r="E25" s="7">
        <v>60</v>
      </c>
      <c r="F25" s="8">
        <f t="shared" si="0"/>
        <v>40.893394649130897</v>
      </c>
      <c r="G25" s="8">
        <f t="shared" si="1"/>
        <v>79.106605350869103</v>
      </c>
      <c r="H25" s="9">
        <f t="shared" si="4"/>
        <v>0.79372539331937708</v>
      </c>
      <c r="I25" s="7">
        <v>8</v>
      </c>
      <c r="J25" s="10">
        <v>588.910630706544</v>
      </c>
      <c r="K25" s="10">
        <v>782.68674268729126</v>
      </c>
      <c r="L25" s="10">
        <v>84.7</v>
      </c>
      <c r="M25" s="2">
        <f t="shared" si="5"/>
        <v>935.01927709823133</v>
      </c>
      <c r="N25" s="9">
        <f t="shared" si="6"/>
        <v>0.52581306313084286</v>
      </c>
      <c r="O25" s="9">
        <f t="shared" si="11"/>
        <v>0.69882744882793857</v>
      </c>
      <c r="P25" s="9">
        <f t="shared" si="8"/>
        <v>84.7</v>
      </c>
      <c r="Q25" s="9">
        <f t="shared" si="12"/>
        <v>0.83483864026627796</v>
      </c>
      <c r="R25" s="11">
        <f t="shared" si="2"/>
        <v>6.5161359733722057E-2</v>
      </c>
      <c r="S25" s="11">
        <f t="shared" si="3"/>
        <v>0.12364489478192853</v>
      </c>
      <c r="T25" s="11">
        <f t="shared" si="9"/>
        <v>0.11956017193121819</v>
      </c>
      <c r="U25" s="11">
        <f t="shared" si="10"/>
        <v>-5.5933946491309001</v>
      </c>
    </row>
    <row r="26" spans="1:21">
      <c r="A26" s="12">
        <v>0.9</v>
      </c>
      <c r="B26" s="12">
        <v>0.6</v>
      </c>
      <c r="C26" s="14">
        <v>1.0816653826391966</v>
      </c>
      <c r="D26" s="13">
        <v>56.309932474020208</v>
      </c>
      <c r="E26" s="12">
        <v>90</v>
      </c>
      <c r="F26" s="13">
        <f t="shared" si="0"/>
        <v>33.690067525979792</v>
      </c>
      <c r="G26" s="13">
        <f t="shared" si="1"/>
        <v>56.309932474020208</v>
      </c>
      <c r="H26" s="14">
        <f t="shared" si="4"/>
        <v>1.0816653826391966</v>
      </c>
      <c r="I26" s="12">
        <v>1</v>
      </c>
      <c r="J26" s="15">
        <v>562.37292412668842</v>
      </c>
      <c r="K26" s="15">
        <v>1020.51175541957</v>
      </c>
      <c r="L26" s="15">
        <v>66</v>
      </c>
      <c r="M26" s="2">
        <f t="shared" si="5"/>
        <v>943.84775022546216</v>
      </c>
      <c r="N26" s="14">
        <f t="shared" si="6"/>
        <v>0.50211868225597178</v>
      </c>
      <c r="O26" s="14">
        <f t="shared" si="11"/>
        <v>0.91117121019604463</v>
      </c>
      <c r="P26" s="14">
        <f t="shared" si="8"/>
        <v>66</v>
      </c>
      <c r="Q26" s="14">
        <f t="shared" si="12"/>
        <v>0.84272120555844832</v>
      </c>
      <c r="R26" s="16">
        <f t="shared" si="2"/>
        <v>5.7278794441551706E-2</v>
      </c>
      <c r="S26" s="16">
        <f t="shared" si="3"/>
        <v>0.16313552957338034</v>
      </c>
      <c r="T26" s="16">
        <f t="shared" si="9"/>
        <v>0.15762191818245747</v>
      </c>
      <c r="U26" s="16">
        <f t="shared" si="10"/>
        <v>-9.6900675259797922</v>
      </c>
    </row>
    <row r="27" spans="1:21">
      <c r="A27">
        <v>0.9</v>
      </c>
      <c r="B27">
        <v>0.6</v>
      </c>
      <c r="C27" s="2">
        <v>1.0816653826391966</v>
      </c>
      <c r="D27" s="4">
        <v>56.309932474020208</v>
      </c>
      <c r="E27">
        <v>90</v>
      </c>
      <c r="F27" s="4">
        <f t="shared" si="0"/>
        <v>33.690067525979792</v>
      </c>
      <c r="G27" s="4">
        <f t="shared" si="1"/>
        <v>56.309932474020208</v>
      </c>
      <c r="H27" s="2">
        <f t="shared" si="4"/>
        <v>1.0816653826391966</v>
      </c>
      <c r="I27">
        <v>3</v>
      </c>
      <c r="J27" s="3">
        <v>549.19448888180887</v>
      </c>
      <c r="K27" s="3">
        <v>1042.509436631562</v>
      </c>
      <c r="L27" s="3">
        <v>64.5</v>
      </c>
      <c r="M27" s="2">
        <f t="shared" si="5"/>
        <v>946.29302486453446</v>
      </c>
      <c r="N27" s="2">
        <f t="shared" si="6"/>
        <v>0.49035222221590075</v>
      </c>
      <c r="O27" s="2">
        <f t="shared" si="11"/>
        <v>0.93081199699246597</v>
      </c>
      <c r="P27" s="2">
        <f t="shared" si="8"/>
        <v>64.5</v>
      </c>
      <c r="Q27" s="2">
        <f t="shared" si="12"/>
        <v>0.84490448648619143</v>
      </c>
      <c r="R27" s="5">
        <f t="shared" si="2"/>
        <v>5.5095513513808592E-2</v>
      </c>
      <c r="S27" s="5">
        <f t="shared" si="3"/>
        <v>0.18274629630683206</v>
      </c>
      <c r="T27" s="5">
        <f t="shared" si="9"/>
        <v>0.13946400436580281</v>
      </c>
      <c r="U27" s="5">
        <f t="shared" si="10"/>
        <v>-8.1900675259797922</v>
      </c>
    </row>
    <row r="28" spans="1:21">
      <c r="A28">
        <v>0.9</v>
      </c>
      <c r="B28">
        <v>0.6</v>
      </c>
      <c r="C28" s="2">
        <v>1.0816653826391966</v>
      </c>
      <c r="D28" s="4">
        <v>56.309932474020208</v>
      </c>
      <c r="E28">
        <v>90</v>
      </c>
      <c r="F28" s="4">
        <f t="shared" si="0"/>
        <v>33.690067525979792</v>
      </c>
      <c r="G28" s="4">
        <f t="shared" si="1"/>
        <v>56.309932474020208</v>
      </c>
      <c r="H28" s="2">
        <f t="shared" si="4"/>
        <v>1.0816653826391966</v>
      </c>
      <c r="I28">
        <v>5</v>
      </c>
      <c r="J28" s="3">
        <v>549.10266263220012</v>
      </c>
      <c r="K28" s="3">
        <v>1078.080776288577</v>
      </c>
      <c r="L28" s="3">
        <v>62.5</v>
      </c>
      <c r="M28" s="2">
        <f t="shared" si="5"/>
        <v>957.64437751325022</v>
      </c>
      <c r="N28" s="2">
        <f t="shared" si="6"/>
        <v>0.49027023449303581</v>
      </c>
      <c r="O28" s="2">
        <f t="shared" si="11"/>
        <v>0.96257212168622941</v>
      </c>
      <c r="P28" s="2">
        <f t="shared" si="8"/>
        <v>62.5</v>
      </c>
      <c r="Q28" s="2">
        <f t="shared" si="12"/>
        <v>0.8550396227796877</v>
      </c>
      <c r="R28" s="5">
        <f t="shared" si="2"/>
        <v>4.496037722031232E-2</v>
      </c>
      <c r="S28" s="5">
        <f t="shared" si="3"/>
        <v>0.18288294251160697</v>
      </c>
      <c r="T28" s="5">
        <f t="shared" si="9"/>
        <v>0.11010175869952225</v>
      </c>
      <c r="U28" s="5">
        <f t="shared" si="10"/>
        <v>-6.1900675259797922</v>
      </c>
    </row>
    <row r="29" spans="1:21">
      <c r="A29" s="7">
        <v>0.9</v>
      </c>
      <c r="B29" s="7">
        <v>0.6</v>
      </c>
      <c r="C29" s="9">
        <v>1.0816653826391966</v>
      </c>
      <c r="D29" s="8">
        <v>56.309932474020208</v>
      </c>
      <c r="E29" s="7">
        <v>90</v>
      </c>
      <c r="F29" s="8">
        <f t="shared" si="0"/>
        <v>33.690067525979792</v>
      </c>
      <c r="G29" s="8">
        <f t="shared" si="1"/>
        <v>56.309932474020208</v>
      </c>
      <c r="H29" s="9">
        <f t="shared" si="4"/>
        <v>1.0816653826391966</v>
      </c>
      <c r="I29" s="7">
        <v>7</v>
      </c>
      <c r="J29" s="10">
        <v>545.3356313659159</v>
      </c>
      <c r="K29" s="10">
        <v>1084.47123322776</v>
      </c>
      <c r="L29" s="10">
        <v>58.1</v>
      </c>
      <c r="M29" s="2">
        <f t="shared" si="5"/>
        <v>921.10319388698247</v>
      </c>
      <c r="N29" s="9">
        <f t="shared" si="6"/>
        <v>0.48690681371956773</v>
      </c>
      <c r="O29" s="9">
        <f t="shared" si="11"/>
        <v>0.96827788681049998</v>
      </c>
      <c r="P29" s="9">
        <f t="shared" si="8"/>
        <v>58.1</v>
      </c>
      <c r="Q29" s="9">
        <f t="shared" si="12"/>
        <v>0.82241356597051996</v>
      </c>
      <c r="R29" s="11">
        <f t="shared" si="2"/>
        <v>7.7586434029480067E-2</v>
      </c>
      <c r="S29" s="11">
        <f t="shared" si="3"/>
        <v>0.18848864380072042</v>
      </c>
      <c r="T29" s="11">
        <f t="shared" si="9"/>
        <v>0.104826776976109</v>
      </c>
      <c r="U29" s="11">
        <f t="shared" si="10"/>
        <v>-1.7900675259797936</v>
      </c>
    </row>
    <row r="30" spans="1:21">
      <c r="A30" s="12">
        <v>0.9</v>
      </c>
      <c r="B30" s="12">
        <v>0.9</v>
      </c>
      <c r="C30" s="14">
        <v>0.46587428118453739</v>
      </c>
      <c r="D30" s="13">
        <v>75.000000000000014</v>
      </c>
      <c r="E30" s="12">
        <v>30</v>
      </c>
      <c r="F30" s="13">
        <f t="shared" si="0"/>
        <v>74.999999999999986</v>
      </c>
      <c r="G30" s="13">
        <f t="shared" si="1"/>
        <v>75.000000000000014</v>
      </c>
      <c r="H30" s="14">
        <f t="shared" si="4"/>
        <v>0.46587428118453739</v>
      </c>
      <c r="I30" s="12">
        <v>2</v>
      </c>
      <c r="J30" s="15">
        <v>895.07877010193749</v>
      </c>
      <c r="K30" s="15">
        <v>461.15847630915732</v>
      </c>
      <c r="L30" s="15">
        <v>80</v>
      </c>
      <c r="M30" s="2">
        <f t="shared" si="5"/>
        <v>932.99438920461296</v>
      </c>
      <c r="N30" s="14">
        <f t="shared" si="6"/>
        <v>0.79917747330530131</v>
      </c>
      <c r="O30" s="14">
        <f t="shared" si="11"/>
        <v>0.41174863956174756</v>
      </c>
      <c r="P30" s="14">
        <f t="shared" si="8"/>
        <v>80</v>
      </c>
      <c r="Q30" s="14">
        <f t="shared" si="12"/>
        <v>0.83303070464697582</v>
      </c>
      <c r="R30" s="16">
        <f t="shared" si="2"/>
        <v>6.6969295353024205E-2</v>
      </c>
      <c r="S30" s="16">
        <f t="shared" si="3"/>
        <v>0.11202502966077635</v>
      </c>
      <c r="T30" s="16">
        <f t="shared" si="9"/>
        <v>0.11618078912870942</v>
      </c>
      <c r="U30" s="16">
        <f t="shared" si="10"/>
        <v>-4.9999999999999858</v>
      </c>
    </row>
    <row r="31" spans="1:21">
      <c r="A31">
        <v>0.9</v>
      </c>
      <c r="B31">
        <v>0.9</v>
      </c>
      <c r="C31" s="2">
        <v>0.46587428118453739</v>
      </c>
      <c r="D31" s="4">
        <v>75.000000000000014</v>
      </c>
      <c r="E31">
        <v>30</v>
      </c>
      <c r="F31" s="4">
        <f t="shared" si="0"/>
        <v>74.999999999999986</v>
      </c>
      <c r="G31" s="4">
        <f t="shared" si="1"/>
        <v>75.000000000000014</v>
      </c>
      <c r="H31" s="2">
        <f t="shared" si="4"/>
        <v>0.46587428118453739</v>
      </c>
      <c r="I31">
        <v>4</v>
      </c>
      <c r="J31" s="3">
        <v>890.06136742765659</v>
      </c>
      <c r="K31" s="3">
        <v>441.01623342257722</v>
      </c>
      <c r="L31" s="3">
        <v>83.6</v>
      </c>
      <c r="M31" s="2">
        <f t="shared" si="5"/>
        <v>948.25862452128206</v>
      </c>
      <c r="N31" s="2">
        <f t="shared" si="6"/>
        <v>0.79469764948897903</v>
      </c>
      <c r="O31" s="2">
        <f t="shared" si="11"/>
        <v>0.39376449412730102</v>
      </c>
      <c r="P31" s="2">
        <f t="shared" si="8"/>
        <v>83.6</v>
      </c>
      <c r="Q31" s="2">
        <f t="shared" si="12"/>
        <v>0.84665948617971609</v>
      </c>
      <c r="R31" s="5">
        <f t="shared" si="2"/>
        <v>5.334051382028393E-2</v>
      </c>
      <c r="S31" s="5">
        <f t="shared" si="3"/>
        <v>0.11700261167891221</v>
      </c>
      <c r="T31" s="5">
        <f t="shared" si="9"/>
        <v>0.15478379032619954</v>
      </c>
      <c r="U31" s="5">
        <f t="shared" si="10"/>
        <v>-8.5999999999999801</v>
      </c>
    </row>
    <row r="32" spans="1:21">
      <c r="A32" s="7">
        <v>0.9</v>
      </c>
      <c r="B32" s="7">
        <v>0.9</v>
      </c>
      <c r="C32" s="9">
        <v>0.46587428118453739</v>
      </c>
      <c r="D32" s="8">
        <v>75.000000000000014</v>
      </c>
      <c r="E32" s="7">
        <v>30</v>
      </c>
      <c r="F32" s="8">
        <f t="shared" si="0"/>
        <v>74.999999999999986</v>
      </c>
      <c r="G32" s="8">
        <f t="shared" si="1"/>
        <v>75.000000000000014</v>
      </c>
      <c r="H32" s="9">
        <f t="shared" si="4"/>
        <v>0.46587428118453739</v>
      </c>
      <c r="I32" s="7">
        <v>6</v>
      </c>
      <c r="J32" s="10">
        <v>874.29574128126092</v>
      </c>
      <c r="K32" s="10">
        <v>454.21359652181548</v>
      </c>
      <c r="L32" s="10">
        <v>81.7</v>
      </c>
      <c r="M32" s="2">
        <f t="shared" si="5"/>
        <v>925.22993237802552</v>
      </c>
      <c r="N32" s="9">
        <f t="shared" si="6"/>
        <v>0.78062119757255433</v>
      </c>
      <c r="O32" s="9">
        <f t="shared" si="11"/>
        <v>0.40554785403733518</v>
      </c>
      <c r="P32" s="9">
        <f t="shared" si="8"/>
        <v>81.7</v>
      </c>
      <c r="Q32" s="9">
        <f t="shared" si="12"/>
        <v>0.82609815390895125</v>
      </c>
      <c r="R32" s="11">
        <f t="shared" si="2"/>
        <v>7.3901846091048773E-2</v>
      </c>
      <c r="S32" s="11">
        <f t="shared" si="3"/>
        <v>0.13264311380827298</v>
      </c>
      <c r="T32" s="11">
        <f t="shared" si="9"/>
        <v>0.12949078664273017</v>
      </c>
      <c r="U32" s="11">
        <f t="shared" si="10"/>
        <v>-6.6999999999999886</v>
      </c>
    </row>
    <row r="33" spans="1:21">
      <c r="A33" s="12">
        <v>0.9</v>
      </c>
      <c r="B33" s="12">
        <v>0.9</v>
      </c>
      <c r="C33" s="14">
        <v>0.89999999999999991</v>
      </c>
      <c r="D33" s="13">
        <v>59.999999999999993</v>
      </c>
      <c r="E33" s="12">
        <v>60</v>
      </c>
      <c r="F33" s="13">
        <f t="shared" si="0"/>
        <v>60.000000000000007</v>
      </c>
      <c r="G33" s="13">
        <f t="shared" si="1"/>
        <v>59.999999999999993</v>
      </c>
      <c r="H33" s="14">
        <f t="shared" si="4"/>
        <v>0.89999999999999991</v>
      </c>
      <c r="I33" s="12">
        <v>1</v>
      </c>
      <c r="J33" s="15">
        <v>849.96404426695233</v>
      </c>
      <c r="K33" s="15">
        <v>870.72800223409945</v>
      </c>
      <c r="L33" s="15">
        <v>65.900000000000006</v>
      </c>
      <c r="M33" s="2">
        <f t="shared" si="5"/>
        <v>936.05854300569467</v>
      </c>
      <c r="N33" s="14">
        <f t="shared" si="6"/>
        <v>0.75889646809549316</v>
      </c>
      <c r="O33" s="14">
        <f t="shared" si="11"/>
        <v>0.77743571628044583</v>
      </c>
      <c r="P33" s="14">
        <f t="shared" si="8"/>
        <v>65.900000000000006</v>
      </c>
      <c r="Q33" s="14">
        <f t="shared" si="12"/>
        <v>0.83576655625508445</v>
      </c>
      <c r="R33" s="16">
        <f t="shared" si="2"/>
        <v>6.4233443744915575E-2</v>
      </c>
      <c r="S33" s="16">
        <f t="shared" si="3"/>
        <v>0.15678170211611872</v>
      </c>
      <c r="T33" s="16">
        <f t="shared" si="9"/>
        <v>0.13618253746617121</v>
      </c>
      <c r="U33" s="16">
        <f t="shared" si="10"/>
        <v>-5.9000000000000128</v>
      </c>
    </row>
    <row r="34" spans="1:21">
      <c r="A34">
        <v>0.9</v>
      </c>
      <c r="B34">
        <v>0.9</v>
      </c>
      <c r="C34" s="2">
        <v>0.89999999999999991</v>
      </c>
      <c r="D34" s="4">
        <v>59.999999999999993</v>
      </c>
      <c r="E34">
        <v>60</v>
      </c>
      <c r="F34" s="4">
        <f t="shared" si="0"/>
        <v>60.000000000000007</v>
      </c>
      <c r="G34" s="4">
        <f t="shared" si="1"/>
        <v>59.999999999999993</v>
      </c>
      <c r="H34" s="2">
        <f t="shared" si="4"/>
        <v>0.89999999999999991</v>
      </c>
      <c r="I34">
        <v>3</v>
      </c>
      <c r="J34" s="3">
        <v>885.84154862858304</v>
      </c>
      <c r="K34" s="3">
        <v>873.08454178528518</v>
      </c>
      <c r="L34" s="3">
        <v>64.900000000000006</v>
      </c>
      <c r="M34" s="2">
        <f t="shared" si="5"/>
        <v>943.83676788072637</v>
      </c>
      <c r="N34" s="2">
        <f t="shared" si="6"/>
        <v>0.79092995413266343</v>
      </c>
      <c r="O34" s="2">
        <f t="shared" si="11"/>
        <v>0.77953976945114745</v>
      </c>
      <c r="P34" s="2">
        <f t="shared" si="8"/>
        <v>64.900000000000006</v>
      </c>
      <c r="Q34" s="2">
        <f t="shared" si="12"/>
        <v>0.84271139989350563</v>
      </c>
      <c r="R34" s="5">
        <f t="shared" si="2"/>
        <v>5.7288600106494392E-2</v>
      </c>
      <c r="S34" s="5">
        <f t="shared" si="3"/>
        <v>0.12118893985259621</v>
      </c>
      <c r="T34" s="5">
        <f t="shared" si="9"/>
        <v>0.13384470060983608</v>
      </c>
      <c r="U34" s="5">
        <f t="shared" si="10"/>
        <v>-4.9000000000000128</v>
      </c>
    </row>
    <row r="35" spans="1:21">
      <c r="A35">
        <v>0.9</v>
      </c>
      <c r="B35">
        <v>0.9</v>
      </c>
      <c r="C35" s="2">
        <v>0.89999999999999991</v>
      </c>
      <c r="D35" s="4">
        <v>59.999999999999993</v>
      </c>
      <c r="E35">
        <v>60</v>
      </c>
      <c r="F35" s="4">
        <f t="shared" si="0"/>
        <v>60.000000000000007</v>
      </c>
      <c r="G35" s="4">
        <f t="shared" si="1"/>
        <v>59.999999999999993</v>
      </c>
      <c r="H35" s="2">
        <f t="shared" si="4"/>
        <v>0.89999999999999991</v>
      </c>
      <c r="I35">
        <v>5</v>
      </c>
      <c r="J35" s="3">
        <v>865.92710909977643</v>
      </c>
      <c r="K35" s="3">
        <v>871.39411402355461</v>
      </c>
      <c r="L35" s="3">
        <v>65</v>
      </c>
      <c r="M35" s="2">
        <f t="shared" si="5"/>
        <v>933.47340024708967</v>
      </c>
      <c r="N35" s="2">
        <f t="shared" si="6"/>
        <v>0.77314920455337177</v>
      </c>
      <c r="O35" s="2">
        <f t="shared" si="11"/>
        <v>0.77803045894960221</v>
      </c>
      <c r="P35" s="2">
        <f t="shared" si="8"/>
        <v>65</v>
      </c>
      <c r="Q35" s="2">
        <f t="shared" si="12"/>
        <v>0.83345839307775849</v>
      </c>
      <c r="R35" s="5">
        <f t="shared" si="2"/>
        <v>6.6541606922241536E-2</v>
      </c>
      <c r="S35" s="5">
        <f t="shared" si="3"/>
        <v>0.14094532827403139</v>
      </c>
      <c r="T35" s="5">
        <f t="shared" si="9"/>
        <v>0.13552171227821969</v>
      </c>
      <c r="U35" s="5">
        <f t="shared" si="10"/>
        <v>-5.0000000000000071</v>
      </c>
    </row>
    <row r="36" spans="1:21">
      <c r="A36" s="7">
        <v>0.9</v>
      </c>
      <c r="B36" s="7">
        <v>0.9</v>
      </c>
      <c r="C36" s="9">
        <v>0.89999999999999991</v>
      </c>
      <c r="D36" s="8">
        <v>59.999999999999993</v>
      </c>
      <c r="E36" s="7">
        <v>60</v>
      </c>
      <c r="F36" s="8">
        <f t="shared" si="0"/>
        <v>60.000000000000007</v>
      </c>
      <c r="G36" s="8">
        <f t="shared" si="1"/>
        <v>59.999999999999993</v>
      </c>
      <c r="H36" s="9">
        <f t="shared" si="4"/>
        <v>0.89999999999999991</v>
      </c>
      <c r="I36" s="7">
        <v>7</v>
      </c>
      <c r="J36" s="10">
        <v>884.3358682930849</v>
      </c>
      <c r="K36" s="10">
        <v>874.0783992891802</v>
      </c>
      <c r="L36" s="10">
        <v>64.2</v>
      </c>
      <c r="M36" s="2">
        <f t="shared" si="5"/>
        <v>934.45924492127267</v>
      </c>
      <c r="N36" s="9">
        <f t="shared" si="6"/>
        <v>0.7895855966902543</v>
      </c>
      <c r="O36" s="9">
        <f t="shared" si="11"/>
        <v>0.78042714222248222</v>
      </c>
      <c r="P36" s="9">
        <f t="shared" si="8"/>
        <v>64.2</v>
      </c>
      <c r="Q36" s="9">
        <f t="shared" si="12"/>
        <v>0.83433861153685052</v>
      </c>
      <c r="R36" s="11">
        <f t="shared" si="2"/>
        <v>6.5661388463149506E-2</v>
      </c>
      <c r="S36" s="11">
        <f t="shared" si="3"/>
        <v>0.12268267034416191</v>
      </c>
      <c r="T36" s="11">
        <f t="shared" si="9"/>
        <v>0.13285873086390856</v>
      </c>
      <c r="U36" s="11">
        <f t="shared" si="10"/>
        <v>-4.2000000000000099</v>
      </c>
    </row>
    <row r="37" spans="1:21">
      <c r="A37" s="12">
        <v>0.9</v>
      </c>
      <c r="B37" s="12">
        <v>0.9</v>
      </c>
      <c r="C37" s="14">
        <v>1.2727922061357855</v>
      </c>
      <c r="D37" s="13">
        <v>44.999999999999979</v>
      </c>
      <c r="E37" s="12">
        <v>90</v>
      </c>
      <c r="F37" s="13">
        <f t="shared" si="0"/>
        <v>45.000000000000021</v>
      </c>
      <c r="G37" s="13">
        <f t="shared" si="1"/>
        <v>44.999999999999979</v>
      </c>
      <c r="H37" s="14">
        <f t="shared" si="4"/>
        <v>1.2727922061357855</v>
      </c>
      <c r="I37" s="12">
        <v>1</v>
      </c>
      <c r="J37" s="15">
        <v>848.05387665723606</v>
      </c>
      <c r="K37" s="15">
        <v>1216.1908231724531</v>
      </c>
      <c r="L37" s="15">
        <v>50.7</v>
      </c>
      <c r="M37" s="2">
        <f t="shared" si="5"/>
        <v>944.34280436905249</v>
      </c>
      <c r="N37" s="14">
        <f t="shared" si="6"/>
        <v>0.75719096130110364</v>
      </c>
      <c r="O37" s="14">
        <f t="shared" si="11"/>
        <v>1.0858846635468331</v>
      </c>
      <c r="P37" s="14">
        <f t="shared" si="8"/>
        <v>50.7</v>
      </c>
      <c r="Q37" s="14">
        <f t="shared" si="12"/>
        <v>0.84316321818665396</v>
      </c>
      <c r="R37" s="16">
        <f t="shared" si="2"/>
        <v>5.683678181334606E-2</v>
      </c>
      <c r="S37" s="16">
        <f t="shared" si="3"/>
        <v>0.15867670966544042</v>
      </c>
      <c r="T37" s="16">
        <f t="shared" si="9"/>
        <v>0.14684843424395741</v>
      </c>
      <c r="U37" s="16">
        <f t="shared" si="10"/>
        <v>-5.7000000000000242</v>
      </c>
    </row>
    <row r="38" spans="1:21">
      <c r="A38" s="7">
        <v>0.9</v>
      </c>
      <c r="B38" s="7">
        <v>0.9</v>
      </c>
      <c r="C38" s="9">
        <v>1.2727922061357855</v>
      </c>
      <c r="D38" s="8">
        <v>44.999999999999979</v>
      </c>
      <c r="E38" s="7">
        <v>90</v>
      </c>
      <c r="F38" s="8">
        <f t="shared" si="0"/>
        <v>45.000000000000021</v>
      </c>
      <c r="G38" s="8">
        <f t="shared" si="1"/>
        <v>44.999999999999979</v>
      </c>
      <c r="H38" s="9">
        <f t="shared" si="4"/>
        <v>1.2727922061357855</v>
      </c>
      <c r="I38" s="7">
        <v>3</v>
      </c>
      <c r="J38" s="10">
        <v>822.16526594311813</v>
      </c>
      <c r="K38" s="10">
        <v>1255.8599704382909</v>
      </c>
      <c r="L38" s="10">
        <v>49.4</v>
      </c>
      <c r="M38" s="2">
        <f t="shared" si="5"/>
        <v>953.55094924557648</v>
      </c>
      <c r="N38" s="9">
        <f t="shared" si="6"/>
        <v>0.73407613030635532</v>
      </c>
      <c r="O38" s="9">
        <f t="shared" si="11"/>
        <v>1.1213035450341882</v>
      </c>
      <c r="P38" s="9">
        <f t="shared" si="8"/>
        <v>49.4</v>
      </c>
      <c r="Q38" s="9">
        <f t="shared" si="12"/>
        <v>0.85138477611212182</v>
      </c>
      <c r="R38" s="11">
        <f t="shared" si="2"/>
        <v>4.8615223887878201E-2</v>
      </c>
      <c r="S38" s="11">
        <f t="shared" si="3"/>
        <v>0.18435985521516077</v>
      </c>
      <c r="T38" s="11">
        <f t="shared" si="9"/>
        <v>0.11902073281978914</v>
      </c>
      <c r="U38" s="11">
        <f t="shared" si="10"/>
        <v>-4.4000000000000199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FE1F-3AEF-4507-8EBF-058EA624C40C}">
  <dimension ref="A1:U40"/>
  <sheetViews>
    <sheetView topLeftCell="A19" zoomScaleNormal="100" workbookViewId="0">
      <selection activeCell="A39" sqref="A39:XFD39"/>
    </sheetView>
  </sheetViews>
  <sheetFormatPr defaultRowHeight="15"/>
  <cols>
    <col min="1" max="2" width="18.75" bestFit="1" customWidth="1"/>
    <col min="3" max="4" width="18.75" customWidth="1"/>
    <col min="5" max="5" width="18.75" bestFit="1" customWidth="1"/>
    <col min="6" max="8" width="18.75" customWidth="1"/>
    <col min="9" max="9" width="14.375" customWidth="1"/>
    <col min="10" max="11" width="14" customWidth="1"/>
    <col min="12" max="12" width="14.25" customWidth="1"/>
    <col min="13" max="13" width="14" customWidth="1"/>
    <col min="14" max="14" width="14" bestFit="1" customWidth="1"/>
    <col min="15" max="17" width="15.5" bestFit="1" customWidth="1"/>
    <col min="18" max="19" width="10.25" customWidth="1"/>
    <col min="20" max="20" width="9" customWidth="1"/>
    <col min="21" max="21" width="9.375" customWidth="1"/>
  </cols>
  <sheetData>
    <row r="1" spans="1:21">
      <c r="A1" s="1" t="s">
        <v>8</v>
      </c>
      <c r="B1" s="1" t="s">
        <v>9</v>
      </c>
      <c r="C1" s="1" t="s">
        <v>11</v>
      </c>
      <c r="D1" s="1" t="s">
        <v>17</v>
      </c>
      <c r="E1" s="1" t="s">
        <v>10</v>
      </c>
      <c r="F1" s="1" t="s">
        <v>16</v>
      </c>
      <c r="G1" s="1" t="s">
        <v>18</v>
      </c>
      <c r="H1" s="1" t="s">
        <v>12</v>
      </c>
      <c r="I1" s="1" t="s">
        <v>0</v>
      </c>
      <c r="J1" s="1" t="s">
        <v>1</v>
      </c>
      <c r="K1" s="1" t="s">
        <v>2</v>
      </c>
      <c r="L1" s="1" t="s">
        <v>6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6" t="s">
        <v>13</v>
      </c>
      <c r="S1" s="6" t="s">
        <v>14</v>
      </c>
      <c r="T1" s="6" t="s">
        <v>15</v>
      </c>
      <c r="U1" s="6" t="s">
        <v>19</v>
      </c>
    </row>
    <row r="2" spans="1:21">
      <c r="A2">
        <v>0.6</v>
      </c>
      <c r="B2">
        <v>0.6</v>
      </c>
      <c r="C2" s="2">
        <v>0.31058285412302489</v>
      </c>
      <c r="D2" s="4">
        <v>75</v>
      </c>
      <c r="E2">
        <v>30</v>
      </c>
      <c r="F2" s="4">
        <f t="shared" ref="F2:F38" si="0">DEGREES(ACOS((POWER(H2, 2) + POWER(A2, 2) - POWER(B2, 2)) / (2 * H2 *A2)))</f>
        <v>75</v>
      </c>
      <c r="G2" s="4">
        <f t="shared" ref="G2:G38" si="1">180-E2-F2</f>
        <v>75</v>
      </c>
      <c r="H2" s="2">
        <f>SQRT(POWER(A2, 2) + POWER(B2, 2) - 2 * A2 * B2 * COS(RADIANS(E2)))</f>
        <v>0.31058285412302489</v>
      </c>
      <c r="I2">
        <v>2</v>
      </c>
      <c r="J2" s="3">
        <v>542.05226441841523</v>
      </c>
      <c r="K2" s="3">
        <v>272.27407129640181</v>
      </c>
      <c r="L2" s="3">
        <v>92.2</v>
      </c>
      <c r="M2" s="2">
        <f>SQRT(POWER(K2, 2) + POWER(J2, 2) - 2 * J2 * K2 * COS(RADIANS(L2)))</f>
        <v>615.86109902439557</v>
      </c>
      <c r="N2" s="2">
        <f>J2/1.12/1000</f>
        <v>0.48397523608787069</v>
      </c>
      <c r="O2" s="2">
        <f>K2/1.12/1000</f>
        <v>0.24310184937178733</v>
      </c>
      <c r="P2" s="2">
        <f>L2</f>
        <v>92.2</v>
      </c>
      <c r="Q2" s="2">
        <f>M2/1.12/1000</f>
        <v>0.54987598127178172</v>
      </c>
      <c r="R2" s="5">
        <f t="shared" ref="R2:R38" si="2">A2-Q2</f>
        <v>5.0124018728218256E-2</v>
      </c>
      <c r="S2" s="5">
        <f t="shared" ref="S2:S38" si="3">(B2-N2)/B2</f>
        <v>0.19337460652021549</v>
      </c>
      <c r="T2" s="5">
        <f>(H2-O2)/H2</f>
        <v>0.21727215091051894</v>
      </c>
      <c r="U2" s="5">
        <f>G2-P2</f>
        <v>-17.200000000000003</v>
      </c>
    </row>
    <row r="3" spans="1:21">
      <c r="A3" s="7">
        <v>0.6</v>
      </c>
      <c r="B3" s="7">
        <v>0.6</v>
      </c>
      <c r="C3" s="9">
        <v>0.31058285412302489</v>
      </c>
      <c r="D3" s="8">
        <v>75</v>
      </c>
      <c r="E3" s="7">
        <v>30</v>
      </c>
      <c r="F3" s="8">
        <f t="shared" si="0"/>
        <v>75</v>
      </c>
      <c r="G3" s="8">
        <f t="shared" si="1"/>
        <v>75</v>
      </c>
      <c r="H3" s="9">
        <f t="shared" ref="H3:H38" si="4">SQRT(POWER(A3, 2) + POWER(B3, 2) - 2 * A3 * B3 * COS(RADIANS(E3)))</f>
        <v>0.31058285412302489</v>
      </c>
      <c r="I3" s="7">
        <v>4</v>
      </c>
      <c r="J3" s="10">
        <v>541.01528560003703</v>
      </c>
      <c r="K3" s="10">
        <v>275.56394598851972</v>
      </c>
      <c r="L3" s="10">
        <v>94</v>
      </c>
      <c r="M3" s="2">
        <f t="shared" ref="M3:M38" si="5">SQRT(POWER(K3, 2) + POWER(J3, 2) - 2 * J3 * K3 * COS(RADIANS(L3)))</f>
        <v>624.04504538302615</v>
      </c>
      <c r="N3" s="9">
        <f t="shared" ref="N3:Q38" si="6">J3/1.12/1000</f>
        <v>0.48304936214289018</v>
      </c>
      <c r="O3" s="9">
        <f t="shared" si="6"/>
        <v>0.24603923748974973</v>
      </c>
      <c r="P3" s="9">
        <f t="shared" ref="P3:P38" si="7">L3</f>
        <v>94</v>
      </c>
      <c r="Q3" s="9">
        <f t="shared" si="6"/>
        <v>0.55718307623484475</v>
      </c>
      <c r="R3" s="11">
        <f t="shared" si="2"/>
        <v>4.2816923765155224E-2</v>
      </c>
      <c r="S3" s="11">
        <f t="shared" si="3"/>
        <v>0.19491772976184968</v>
      </c>
      <c r="T3" s="11">
        <f t="shared" ref="T3:T38" si="8">(H3-O3)/H3</f>
        <v>0.20781448742727052</v>
      </c>
      <c r="U3" s="11">
        <f t="shared" ref="U3:U38" si="9">G3-P3</f>
        <v>-19</v>
      </c>
    </row>
    <row r="4" spans="1:21">
      <c r="A4">
        <v>0.6</v>
      </c>
      <c r="B4">
        <v>0.6</v>
      </c>
      <c r="C4" s="2">
        <v>0.6</v>
      </c>
      <c r="D4" s="4">
        <v>60.000000000000007</v>
      </c>
      <c r="E4">
        <v>60</v>
      </c>
      <c r="F4" s="4">
        <f t="shared" si="0"/>
        <v>59.999999999999993</v>
      </c>
      <c r="G4" s="4">
        <f t="shared" si="1"/>
        <v>60.000000000000007</v>
      </c>
      <c r="H4" s="2">
        <f t="shared" si="4"/>
        <v>0.6</v>
      </c>
      <c r="I4">
        <v>1</v>
      </c>
      <c r="J4" s="3">
        <v>477.27357598412522</v>
      </c>
      <c r="K4" s="3">
        <v>543.66549568787696</v>
      </c>
      <c r="L4" s="3">
        <v>73.2</v>
      </c>
      <c r="M4" s="2">
        <f t="shared" si="5"/>
        <v>611.03840228558977</v>
      </c>
      <c r="N4" s="2">
        <f t="shared" si="6"/>
        <v>0.42613712141439747</v>
      </c>
      <c r="O4" s="2">
        <f t="shared" si="6"/>
        <v>0.48541562114989012</v>
      </c>
      <c r="P4" s="2">
        <f t="shared" si="7"/>
        <v>73.2</v>
      </c>
      <c r="Q4" s="2">
        <f t="shared" si="6"/>
        <v>0.54557000204070505</v>
      </c>
      <c r="R4" s="5">
        <f t="shared" si="2"/>
        <v>5.4429997959294929E-2</v>
      </c>
      <c r="S4" s="5">
        <f t="shared" si="3"/>
        <v>0.28977146430933753</v>
      </c>
      <c r="T4" s="5">
        <f t="shared" si="8"/>
        <v>0.19097396475018311</v>
      </c>
      <c r="U4" s="5">
        <f t="shared" si="9"/>
        <v>-13.199999999999996</v>
      </c>
    </row>
    <row r="5" spans="1:21">
      <c r="A5">
        <v>0.6</v>
      </c>
      <c r="B5">
        <v>0.6</v>
      </c>
      <c r="C5" s="2">
        <v>0.6</v>
      </c>
      <c r="D5" s="4">
        <v>60.000000000000007</v>
      </c>
      <c r="E5">
        <v>60</v>
      </c>
      <c r="F5" s="4">
        <f t="shared" si="0"/>
        <v>59.999999999999993</v>
      </c>
      <c r="G5" s="4">
        <f t="shared" si="1"/>
        <v>60.000000000000007</v>
      </c>
      <c r="H5" s="2">
        <f t="shared" si="4"/>
        <v>0.6</v>
      </c>
      <c r="I5">
        <v>3</v>
      </c>
      <c r="J5" s="3">
        <v>528.38753215131499</v>
      </c>
      <c r="K5" s="3">
        <v>546.25791449803512</v>
      </c>
      <c r="L5" s="3">
        <v>68.2</v>
      </c>
      <c r="M5" s="2">
        <f t="shared" si="5"/>
        <v>602.66983968558918</v>
      </c>
      <c r="N5" s="2">
        <f t="shared" si="6"/>
        <v>0.47177458227795976</v>
      </c>
      <c r="O5" s="2">
        <f t="shared" si="6"/>
        <v>0.48773028080181702</v>
      </c>
      <c r="P5" s="2">
        <f t="shared" si="7"/>
        <v>68.2</v>
      </c>
      <c r="Q5" s="2">
        <f t="shared" si="6"/>
        <v>0.53809807114784747</v>
      </c>
      <c r="R5" s="5">
        <f t="shared" si="2"/>
        <v>6.190192885215251E-2</v>
      </c>
      <c r="S5" s="5">
        <f t="shared" si="3"/>
        <v>0.21370902953673371</v>
      </c>
      <c r="T5" s="5">
        <f t="shared" si="8"/>
        <v>0.18711619866363827</v>
      </c>
      <c r="U5" s="5">
        <f t="shared" si="9"/>
        <v>-8.1999999999999957</v>
      </c>
    </row>
    <row r="6" spans="1:21">
      <c r="A6" s="7">
        <v>0.6</v>
      </c>
      <c r="B6" s="7">
        <v>0.6</v>
      </c>
      <c r="C6" s="9">
        <v>0.6</v>
      </c>
      <c r="D6" s="8">
        <v>60.000000000000007</v>
      </c>
      <c r="E6" s="7">
        <v>60</v>
      </c>
      <c r="F6" s="8">
        <f t="shared" si="0"/>
        <v>59.999999999999993</v>
      </c>
      <c r="G6" s="8">
        <f t="shared" si="1"/>
        <v>60.000000000000007</v>
      </c>
      <c r="H6" s="9">
        <f t="shared" si="4"/>
        <v>0.6</v>
      </c>
      <c r="I6" s="7">
        <v>5</v>
      </c>
      <c r="J6" s="10">
        <v>536.63476032085555</v>
      </c>
      <c r="K6" s="10">
        <v>528.74691908362286</v>
      </c>
      <c r="L6" s="10">
        <v>70.7</v>
      </c>
      <c r="M6" s="2">
        <f t="shared" si="5"/>
        <v>616.43104599803212</v>
      </c>
      <c r="N6" s="9">
        <f t="shared" si="6"/>
        <v>0.47913817885790666</v>
      </c>
      <c r="O6" s="9">
        <f t="shared" si="6"/>
        <v>0.47209546346752035</v>
      </c>
      <c r="P6" s="9">
        <f t="shared" si="7"/>
        <v>70.7</v>
      </c>
      <c r="Q6" s="9">
        <f t="shared" si="6"/>
        <v>0.55038486249824292</v>
      </c>
      <c r="R6" s="11">
        <f t="shared" si="2"/>
        <v>4.9615137501757056E-2</v>
      </c>
      <c r="S6" s="11">
        <f t="shared" si="3"/>
        <v>0.20143636857015554</v>
      </c>
      <c r="T6" s="11">
        <f t="shared" si="8"/>
        <v>0.21317422755413273</v>
      </c>
      <c r="U6" s="11">
        <f t="shared" si="9"/>
        <v>-10.699999999999996</v>
      </c>
    </row>
    <row r="7" spans="1:21">
      <c r="A7">
        <v>0.6</v>
      </c>
      <c r="B7">
        <v>0.6</v>
      </c>
      <c r="C7" s="2">
        <v>0.84852813742385702</v>
      </c>
      <c r="D7" s="4">
        <v>45.000000000000014</v>
      </c>
      <c r="E7">
        <v>90</v>
      </c>
      <c r="F7" s="4">
        <f t="shared" si="0"/>
        <v>44.999999999999986</v>
      </c>
      <c r="G7" s="4">
        <f t="shared" si="1"/>
        <v>45.000000000000014</v>
      </c>
      <c r="H7" s="2">
        <f t="shared" si="4"/>
        <v>0.84852813742385702</v>
      </c>
      <c r="I7">
        <v>1</v>
      </c>
      <c r="J7" s="3">
        <v>466.36149508243392</v>
      </c>
      <c r="K7" s="3">
        <v>756.91047086879905</v>
      </c>
      <c r="L7" s="3">
        <v>53.5</v>
      </c>
      <c r="M7" s="2">
        <f t="shared" si="5"/>
        <v>608.66154452237436</v>
      </c>
      <c r="N7" s="2">
        <f t="shared" si="6"/>
        <v>0.41639419203788736</v>
      </c>
      <c r="O7" s="2">
        <f t="shared" si="6"/>
        <v>0.67581292041857055</v>
      </c>
      <c r="P7" s="2">
        <f t="shared" si="7"/>
        <v>53.5</v>
      </c>
      <c r="Q7" s="2">
        <f t="shared" si="6"/>
        <v>0.54344780760926281</v>
      </c>
      <c r="R7" s="5">
        <f t="shared" si="2"/>
        <v>5.6552192390737166E-2</v>
      </c>
      <c r="S7" s="5">
        <f t="shared" si="3"/>
        <v>0.30600967993685441</v>
      </c>
      <c r="T7" s="5">
        <f t="shared" si="8"/>
        <v>0.20354683526424028</v>
      </c>
      <c r="U7" s="5">
        <f t="shared" si="9"/>
        <v>-8.4999999999999858</v>
      </c>
    </row>
    <row r="8" spans="1:21">
      <c r="A8">
        <v>0.6</v>
      </c>
      <c r="B8">
        <v>0.6</v>
      </c>
      <c r="C8" s="2">
        <v>0.84852813742385702</v>
      </c>
      <c r="D8" s="4">
        <v>45.000000000000014</v>
      </c>
      <c r="E8">
        <v>90</v>
      </c>
      <c r="F8" s="4">
        <f t="shared" si="0"/>
        <v>44.999999999999986</v>
      </c>
      <c r="G8" s="4">
        <f t="shared" si="1"/>
        <v>45.000000000000014</v>
      </c>
      <c r="H8" s="2">
        <f t="shared" si="4"/>
        <v>0.84852813742385702</v>
      </c>
      <c r="I8">
        <v>3</v>
      </c>
      <c r="J8" s="3">
        <v>519.32795538337314</v>
      </c>
      <c r="K8" s="3">
        <v>762.52802745466681</v>
      </c>
      <c r="L8" s="3">
        <v>54.1</v>
      </c>
      <c r="M8" s="2">
        <f t="shared" si="5"/>
        <v>621.88513688389526</v>
      </c>
      <c r="N8" s="2">
        <f t="shared" si="6"/>
        <v>0.46368567444944031</v>
      </c>
      <c r="O8" s="2">
        <f t="shared" si="6"/>
        <v>0.68082859594166678</v>
      </c>
      <c r="P8" s="2">
        <f t="shared" si="7"/>
        <v>54.1</v>
      </c>
      <c r="Q8" s="2">
        <f t="shared" si="6"/>
        <v>0.55525458650347792</v>
      </c>
      <c r="R8" s="5">
        <f t="shared" si="2"/>
        <v>4.4745413496522057E-2</v>
      </c>
      <c r="S8" s="5">
        <f t="shared" si="3"/>
        <v>0.22719054258426613</v>
      </c>
      <c r="T8" s="5">
        <f t="shared" si="8"/>
        <v>0.19763580497321909</v>
      </c>
      <c r="U8" s="5">
        <f t="shared" si="9"/>
        <v>-9.0999999999999872</v>
      </c>
    </row>
    <row r="9" spans="1:21">
      <c r="A9" s="7">
        <v>0.6</v>
      </c>
      <c r="B9" s="7">
        <v>0.6</v>
      </c>
      <c r="C9" s="9">
        <v>0.84852813742385702</v>
      </c>
      <c r="D9" s="8">
        <v>45.000000000000014</v>
      </c>
      <c r="E9" s="7">
        <v>90</v>
      </c>
      <c r="F9" s="8">
        <f t="shared" si="0"/>
        <v>44.999999999999986</v>
      </c>
      <c r="G9" s="8">
        <f t="shared" si="1"/>
        <v>45.000000000000014</v>
      </c>
      <c r="H9" s="9">
        <f t="shared" si="4"/>
        <v>0.84852813742385702</v>
      </c>
      <c r="I9" s="7">
        <v>5</v>
      </c>
      <c r="J9" s="10">
        <v>491.82206607203221</v>
      </c>
      <c r="K9" s="10">
        <v>727.25964046123761</v>
      </c>
      <c r="L9" s="10">
        <v>56.7</v>
      </c>
      <c r="M9" s="2">
        <f t="shared" si="5"/>
        <v>614.85282626859441</v>
      </c>
      <c r="N9" s="9">
        <f t="shared" si="6"/>
        <v>0.43912684470717156</v>
      </c>
      <c r="O9" s="9">
        <f t="shared" si="6"/>
        <v>0.64933896469753349</v>
      </c>
      <c r="P9" s="9">
        <f t="shared" si="7"/>
        <v>56.7</v>
      </c>
      <c r="Q9" s="9">
        <f t="shared" si="6"/>
        <v>0.54897573773981645</v>
      </c>
      <c r="R9" s="11">
        <f t="shared" si="2"/>
        <v>5.1024262260183528E-2</v>
      </c>
      <c r="S9" s="11">
        <f t="shared" si="3"/>
        <v>0.26812192548804736</v>
      </c>
      <c r="T9" s="11">
        <f t="shared" si="8"/>
        <v>0.23474669128953646</v>
      </c>
      <c r="U9" s="11">
        <f t="shared" si="9"/>
        <v>-11.699999999999989</v>
      </c>
    </row>
    <row r="10" spans="1:21">
      <c r="A10">
        <v>0.6</v>
      </c>
      <c r="B10">
        <v>0.9</v>
      </c>
      <c r="C10" s="2">
        <v>0.48445078585219159</v>
      </c>
      <c r="D10" s="4">
        <v>38.261966199709804</v>
      </c>
      <c r="E10">
        <v>30</v>
      </c>
      <c r="F10" s="4">
        <f t="shared" si="0"/>
        <v>111.7380338002902</v>
      </c>
      <c r="G10" s="4">
        <f t="shared" si="1"/>
        <v>38.261966199709804</v>
      </c>
      <c r="H10" s="2">
        <f t="shared" si="4"/>
        <v>0.48445078585219159</v>
      </c>
      <c r="I10">
        <v>2</v>
      </c>
      <c r="J10" s="3">
        <v>692.40119324002228</v>
      </c>
      <c r="K10" s="3">
        <v>313.36145900178673</v>
      </c>
      <c r="L10" s="3">
        <v>62.7</v>
      </c>
      <c r="M10" s="2">
        <f t="shared" si="5"/>
        <v>615.29402193471276</v>
      </c>
      <c r="N10" s="2">
        <f t="shared" si="6"/>
        <v>0.61821535110716275</v>
      </c>
      <c r="O10" s="2">
        <f t="shared" si="6"/>
        <v>0.27978701696588099</v>
      </c>
      <c r="P10" s="2">
        <f>L10</f>
        <v>62.7</v>
      </c>
      <c r="Q10" s="2">
        <f t="shared" si="6"/>
        <v>0.54936966244170771</v>
      </c>
      <c r="R10" s="5">
        <f t="shared" si="2"/>
        <v>5.0630337558292271E-2</v>
      </c>
      <c r="S10" s="5">
        <f t="shared" si="3"/>
        <v>0.31309405432537474</v>
      </c>
      <c r="T10" s="5">
        <f t="shared" si="8"/>
        <v>0.42246555246326828</v>
      </c>
      <c r="U10" s="5">
        <f>G10-P10</f>
        <v>-24.438033800290199</v>
      </c>
    </row>
    <row r="11" spans="1:21">
      <c r="A11">
        <v>0.6</v>
      </c>
      <c r="B11">
        <v>0.9</v>
      </c>
      <c r="C11" s="2">
        <v>0.48445078585219159</v>
      </c>
      <c r="D11" s="4">
        <v>38.261966199709804</v>
      </c>
      <c r="E11">
        <v>30</v>
      </c>
      <c r="F11" s="4">
        <f t="shared" si="0"/>
        <v>111.7380338002902</v>
      </c>
      <c r="G11" s="4">
        <f t="shared" si="1"/>
        <v>38.261966199709804</v>
      </c>
      <c r="H11" s="2">
        <f t="shared" si="4"/>
        <v>0.48445078585219159</v>
      </c>
      <c r="I11">
        <v>4</v>
      </c>
      <c r="J11" s="3">
        <v>690.97886663843224</v>
      </c>
      <c r="K11" s="3">
        <v>311.02863214216319</v>
      </c>
      <c r="L11" s="3">
        <v>60.6</v>
      </c>
      <c r="M11" s="2">
        <f t="shared" si="5"/>
        <v>602.64933225422703</v>
      </c>
      <c r="N11" s="2">
        <f t="shared" si="6"/>
        <v>0.6169454166414573</v>
      </c>
      <c r="O11" s="2">
        <f t="shared" si="6"/>
        <v>0.27770413584121711</v>
      </c>
      <c r="P11" s="2">
        <f t="shared" si="7"/>
        <v>60.6</v>
      </c>
      <c r="Q11" s="2">
        <f t="shared" si="6"/>
        <v>0.53807976094127408</v>
      </c>
      <c r="R11" s="5">
        <f t="shared" si="2"/>
        <v>6.1920239058725901E-2</v>
      </c>
      <c r="S11" s="5">
        <f t="shared" si="3"/>
        <v>0.314505092620603</v>
      </c>
      <c r="T11" s="5">
        <f t="shared" si="8"/>
        <v>0.42676502144028711</v>
      </c>
      <c r="U11" s="5">
        <f t="shared" si="9"/>
        <v>-22.338033800290198</v>
      </c>
    </row>
    <row r="12" spans="1:21">
      <c r="A12">
        <v>0.6</v>
      </c>
      <c r="B12">
        <v>0.9</v>
      </c>
      <c r="C12" s="2">
        <v>0.48445078585219159</v>
      </c>
      <c r="D12" s="4">
        <v>38.261966199709804</v>
      </c>
      <c r="E12">
        <v>30</v>
      </c>
      <c r="F12" s="4">
        <f t="shared" si="0"/>
        <v>111.7380338002902</v>
      </c>
      <c r="G12" s="4">
        <f t="shared" si="1"/>
        <v>38.261966199709804</v>
      </c>
      <c r="H12" s="2">
        <f t="shared" si="4"/>
        <v>0.48445078585219159</v>
      </c>
      <c r="I12">
        <v>6</v>
      </c>
      <c r="J12" s="3">
        <v>731.06130979585419</v>
      </c>
      <c r="K12" s="3">
        <v>281.1507307958484</v>
      </c>
      <c r="L12" s="3">
        <v>58.6</v>
      </c>
      <c r="M12" s="2">
        <f t="shared" si="5"/>
        <v>631.91880607554333</v>
      </c>
      <c r="N12" s="2">
        <f t="shared" si="6"/>
        <v>0.65273331231772691</v>
      </c>
      <c r="O12" s="2">
        <f t="shared" si="6"/>
        <v>0.25102743821057893</v>
      </c>
      <c r="P12" s="2">
        <f t="shared" si="7"/>
        <v>58.6</v>
      </c>
      <c r="Q12" s="2">
        <f t="shared" si="6"/>
        <v>0.56421321971030647</v>
      </c>
      <c r="R12" s="5">
        <f t="shared" si="2"/>
        <v>3.5786780289693509E-2</v>
      </c>
      <c r="S12" s="5">
        <f t="shared" si="3"/>
        <v>0.27474076409141457</v>
      </c>
      <c r="T12" s="5">
        <f t="shared" si="8"/>
        <v>0.48183087830273708</v>
      </c>
      <c r="U12" s="5">
        <f t="shared" si="9"/>
        <v>-20.338033800290198</v>
      </c>
    </row>
    <row r="13" spans="1:21">
      <c r="A13" s="12">
        <v>0.6</v>
      </c>
      <c r="B13" s="12">
        <v>0.9</v>
      </c>
      <c r="C13" s="14">
        <v>0.79372539331937708</v>
      </c>
      <c r="D13" s="13">
        <v>40.893394649130897</v>
      </c>
      <c r="E13" s="12">
        <v>60</v>
      </c>
      <c r="F13" s="13">
        <f t="shared" si="0"/>
        <v>79.106605350869103</v>
      </c>
      <c r="G13" s="13">
        <f t="shared" si="1"/>
        <v>40.893394649130897</v>
      </c>
      <c r="H13" s="14">
        <f t="shared" si="4"/>
        <v>0.79372539331937708</v>
      </c>
      <c r="I13" s="12">
        <v>2</v>
      </c>
      <c r="J13" s="15">
        <v>738.75230439739164</v>
      </c>
      <c r="K13" s="15">
        <v>670.41440583420058</v>
      </c>
      <c r="L13" s="15">
        <v>51.7</v>
      </c>
      <c r="M13" s="2">
        <f t="shared" si="5"/>
        <v>617.49031457095771</v>
      </c>
      <c r="N13" s="14">
        <f t="shared" si="6"/>
        <v>0.65960027178338532</v>
      </c>
      <c r="O13" s="14">
        <f t="shared" si="6"/>
        <v>0.59858429092339327</v>
      </c>
      <c r="P13" s="14">
        <f t="shared" si="7"/>
        <v>51.7</v>
      </c>
      <c r="Q13" s="14">
        <f t="shared" si="6"/>
        <v>0.55133063800978355</v>
      </c>
      <c r="R13" s="16">
        <f t="shared" si="2"/>
        <v>4.8669361990216431E-2</v>
      </c>
      <c r="S13" s="16">
        <f t="shared" si="3"/>
        <v>0.26711080912957191</v>
      </c>
      <c r="T13" s="16">
        <f t="shared" si="8"/>
        <v>0.24585467976512559</v>
      </c>
      <c r="U13" s="16">
        <f>G13-P13</f>
        <v>-10.806605350869106</v>
      </c>
    </row>
    <row r="14" spans="1:21">
      <c r="A14">
        <v>0.6</v>
      </c>
      <c r="B14">
        <v>0.9</v>
      </c>
      <c r="C14" s="2">
        <v>0.79372539331937708</v>
      </c>
      <c r="D14" s="4">
        <v>40.893394649130897</v>
      </c>
      <c r="E14">
        <v>60</v>
      </c>
      <c r="F14" s="4">
        <f t="shared" si="0"/>
        <v>79.106605350869103</v>
      </c>
      <c r="G14" s="4">
        <f t="shared" si="1"/>
        <v>40.893394649130897</v>
      </c>
      <c r="H14" s="2">
        <f t="shared" si="4"/>
        <v>0.79372539331937708</v>
      </c>
      <c r="I14">
        <v>4</v>
      </c>
      <c r="J14" s="3">
        <v>782.38662376813795</v>
      </c>
      <c r="K14" s="3">
        <v>659.5203642712097</v>
      </c>
      <c r="L14" s="3">
        <v>50.7</v>
      </c>
      <c r="M14" s="2">
        <f t="shared" si="5"/>
        <v>627.25353087286396</v>
      </c>
      <c r="N14" s="2">
        <f t="shared" si="6"/>
        <v>0.69855948550726599</v>
      </c>
      <c r="O14" s="2">
        <f t="shared" si="6"/>
        <v>0.5888574680992944</v>
      </c>
      <c r="P14" s="2">
        <f t="shared" si="7"/>
        <v>50.7</v>
      </c>
      <c r="Q14" s="2">
        <f t="shared" si="6"/>
        <v>0.56004779542219985</v>
      </c>
      <c r="R14" s="5">
        <f t="shared" si="2"/>
        <v>3.9952204577800132E-2</v>
      </c>
      <c r="S14" s="5">
        <f t="shared" si="3"/>
        <v>0.22382279388081558</v>
      </c>
      <c r="T14" s="5">
        <f t="shared" si="8"/>
        <v>0.25810932464100778</v>
      </c>
      <c r="U14" s="5">
        <f t="shared" si="9"/>
        <v>-9.8066053508691056</v>
      </c>
    </row>
    <row r="15" spans="1:21">
      <c r="A15">
        <v>0.6</v>
      </c>
      <c r="B15">
        <v>0.9</v>
      </c>
      <c r="C15" s="2">
        <v>0.79372539331937708</v>
      </c>
      <c r="D15" s="4">
        <v>40.893394649130897</v>
      </c>
      <c r="E15">
        <v>60</v>
      </c>
      <c r="F15" s="4">
        <f t="shared" si="0"/>
        <v>79.106605350869103</v>
      </c>
      <c r="G15" s="4">
        <f t="shared" si="1"/>
        <v>40.893394649130897</v>
      </c>
      <c r="H15" s="2">
        <f t="shared" si="4"/>
        <v>0.79372539331937708</v>
      </c>
      <c r="I15">
        <v>6</v>
      </c>
      <c r="J15" s="3">
        <v>775.59846462990981</v>
      </c>
      <c r="K15" s="3">
        <v>672.54710569713325</v>
      </c>
      <c r="L15" s="3">
        <v>49.9</v>
      </c>
      <c r="M15" s="2">
        <f t="shared" si="5"/>
        <v>617.97141947474483</v>
      </c>
      <c r="N15" s="2">
        <f t="shared" si="6"/>
        <v>0.69249862913384796</v>
      </c>
      <c r="O15" s="2">
        <f t="shared" si="6"/>
        <v>0.60048848722958315</v>
      </c>
      <c r="P15" s="2">
        <f t="shared" si="7"/>
        <v>49.9</v>
      </c>
      <c r="Q15" s="2">
        <f t="shared" si="6"/>
        <v>0.55176019595959358</v>
      </c>
      <c r="R15" s="5">
        <f t="shared" si="2"/>
        <v>4.8239804040406398E-2</v>
      </c>
      <c r="S15" s="5">
        <f t="shared" si="3"/>
        <v>0.23055707874016895</v>
      </c>
      <c r="T15" s="5">
        <f t="shared" si="8"/>
        <v>0.24345561792054168</v>
      </c>
      <c r="U15" s="5">
        <f t="shared" si="9"/>
        <v>-9.0066053508691013</v>
      </c>
    </row>
    <row r="16" spans="1:21">
      <c r="A16" s="7">
        <v>0.6</v>
      </c>
      <c r="B16" s="7">
        <v>0.9</v>
      </c>
      <c r="C16" s="9">
        <v>0.79372539331937708</v>
      </c>
      <c r="D16" s="8">
        <v>40.893394649130897</v>
      </c>
      <c r="E16" s="7">
        <v>60</v>
      </c>
      <c r="F16" s="8">
        <f t="shared" si="0"/>
        <v>79.106605350869103</v>
      </c>
      <c r="G16" s="8">
        <f t="shared" si="1"/>
        <v>40.893394649130897</v>
      </c>
      <c r="H16" s="9">
        <f t="shared" si="4"/>
        <v>0.79372539331937708</v>
      </c>
      <c r="I16" s="7">
        <v>8</v>
      </c>
      <c r="J16" s="10">
        <v>781.18268497829001</v>
      </c>
      <c r="K16" s="10">
        <v>605.97814007177737</v>
      </c>
      <c r="L16" s="10">
        <v>55</v>
      </c>
      <c r="M16" s="2">
        <f t="shared" si="5"/>
        <v>659.1032472599984</v>
      </c>
      <c r="N16" s="9">
        <f t="shared" si="6"/>
        <v>0.69748454015918737</v>
      </c>
      <c r="O16" s="9">
        <f t="shared" si="6"/>
        <v>0.54105191077837267</v>
      </c>
      <c r="P16" s="9">
        <f t="shared" si="7"/>
        <v>55</v>
      </c>
      <c r="Q16" s="9">
        <f t="shared" si="6"/>
        <v>0.58848504219642717</v>
      </c>
      <c r="R16" s="11">
        <f t="shared" si="2"/>
        <v>1.1514957803572812E-2</v>
      </c>
      <c r="S16" s="11">
        <f t="shared" si="3"/>
        <v>0.22501717760090295</v>
      </c>
      <c r="T16" s="11">
        <f t="shared" si="8"/>
        <v>0.31833866557338975</v>
      </c>
      <c r="U16" s="11">
        <f t="shared" si="9"/>
        <v>-14.106605350869103</v>
      </c>
    </row>
    <row r="17" spans="1:21">
      <c r="A17" s="12">
        <v>0.6</v>
      </c>
      <c r="B17" s="12">
        <v>0.9</v>
      </c>
      <c r="C17" s="14">
        <v>1.0816653826391966</v>
      </c>
      <c r="D17" s="13">
        <v>33.690067525979785</v>
      </c>
      <c r="E17" s="12">
        <v>90</v>
      </c>
      <c r="F17" s="13">
        <f t="shared" si="0"/>
        <v>56.309932474020215</v>
      </c>
      <c r="G17" s="13">
        <f t="shared" si="1"/>
        <v>33.690067525979785</v>
      </c>
      <c r="H17" s="14">
        <f t="shared" si="4"/>
        <v>1.0816653826391966</v>
      </c>
      <c r="I17" s="12">
        <v>1</v>
      </c>
      <c r="J17" s="15">
        <v>711.11094270963451</v>
      </c>
      <c r="K17" s="15">
        <v>955.59793542407431</v>
      </c>
      <c r="L17" s="15">
        <v>40.700000000000003</v>
      </c>
      <c r="M17" s="2">
        <f t="shared" si="5"/>
        <v>623.28710316980323</v>
      </c>
      <c r="N17" s="14">
        <f t="shared" si="6"/>
        <v>0.63492048456217365</v>
      </c>
      <c r="O17" s="14">
        <f t="shared" si="6"/>
        <v>0.85321244234292337</v>
      </c>
      <c r="P17" s="14">
        <f t="shared" si="7"/>
        <v>40.700000000000003</v>
      </c>
      <c r="Q17" s="14">
        <f t="shared" si="6"/>
        <v>0.55650634211589567</v>
      </c>
      <c r="R17" s="16">
        <f t="shared" si="2"/>
        <v>4.3493657884104309E-2</v>
      </c>
      <c r="S17" s="16">
        <f t="shared" si="3"/>
        <v>0.29453279493091816</v>
      </c>
      <c r="T17" s="16">
        <f t="shared" si="8"/>
        <v>0.21120481801762225</v>
      </c>
      <c r="U17" s="16">
        <f t="shared" si="9"/>
        <v>-7.0099324740202178</v>
      </c>
    </row>
    <row r="18" spans="1:21">
      <c r="A18" s="7">
        <v>0.6</v>
      </c>
      <c r="B18" s="7">
        <v>0.9</v>
      </c>
      <c r="C18" s="9">
        <v>1.0816653826391966</v>
      </c>
      <c r="D18" s="8">
        <v>33.690067525979785</v>
      </c>
      <c r="E18" s="7">
        <v>90</v>
      </c>
      <c r="F18" s="8">
        <f t="shared" si="0"/>
        <v>56.309932474020215</v>
      </c>
      <c r="G18" s="8">
        <f t="shared" si="1"/>
        <v>33.690067525979785</v>
      </c>
      <c r="H18" s="9">
        <f t="shared" si="4"/>
        <v>1.0816653826391966</v>
      </c>
      <c r="I18" s="7">
        <v>3</v>
      </c>
      <c r="J18" s="10">
        <v>743.768810062287</v>
      </c>
      <c r="K18" s="10">
        <v>922.68407285278556</v>
      </c>
      <c r="L18" s="10">
        <v>43.9</v>
      </c>
      <c r="M18" s="2">
        <f t="shared" si="5"/>
        <v>644.64090081976747</v>
      </c>
      <c r="N18" s="9">
        <f t="shared" si="6"/>
        <v>0.66407929469847049</v>
      </c>
      <c r="O18" s="9">
        <f t="shared" si="6"/>
        <v>0.82382506504712993</v>
      </c>
      <c r="P18" s="9">
        <f t="shared" si="7"/>
        <v>43.9</v>
      </c>
      <c r="Q18" s="9">
        <f t="shared" si="6"/>
        <v>0.57557223287479231</v>
      </c>
      <c r="R18" s="11">
        <f t="shared" si="2"/>
        <v>2.4427767125207667E-2</v>
      </c>
      <c r="S18" s="11">
        <f t="shared" si="3"/>
        <v>0.26213411700169947</v>
      </c>
      <c r="T18" s="11">
        <f t="shared" si="8"/>
        <v>0.23837345793849138</v>
      </c>
      <c r="U18" s="11">
        <f>G18-P18</f>
        <v>-10.209932474020214</v>
      </c>
    </row>
    <row r="19" spans="1:21">
      <c r="A19" s="12">
        <v>0.9</v>
      </c>
      <c r="B19" s="12">
        <v>0.6</v>
      </c>
      <c r="C19" s="14">
        <v>0.48445078585219159</v>
      </c>
      <c r="D19" s="13">
        <v>111.73803380029017</v>
      </c>
      <c r="E19" s="12">
        <v>30</v>
      </c>
      <c r="F19" s="13">
        <f t="shared" si="0"/>
        <v>38.261966199709839</v>
      </c>
      <c r="G19" s="13">
        <f t="shared" si="1"/>
        <v>111.73803380029017</v>
      </c>
      <c r="H19" s="14">
        <f t="shared" si="4"/>
        <v>0.48445078585219159</v>
      </c>
      <c r="I19" s="12">
        <v>2</v>
      </c>
      <c r="J19" s="15">
        <v>611.48514141285239</v>
      </c>
      <c r="K19" s="15">
        <v>490.35440767405089</v>
      </c>
      <c r="L19" s="15">
        <v>115.6</v>
      </c>
      <c r="M19" s="2">
        <f t="shared" si="5"/>
        <v>934.60073675752778</v>
      </c>
      <c r="N19" s="14">
        <f t="shared" si="6"/>
        <v>0.54596887626147528</v>
      </c>
      <c r="O19" s="14">
        <f t="shared" si="6"/>
        <v>0.43781643542325971</v>
      </c>
      <c r="P19" s="14">
        <f>L19</f>
        <v>115.6</v>
      </c>
      <c r="Q19" s="14">
        <f t="shared" si="6"/>
        <v>0.83446494353350698</v>
      </c>
      <c r="R19" s="16">
        <f t="shared" si="2"/>
        <v>6.5535056466493047E-2</v>
      </c>
      <c r="S19" s="16">
        <f t="shared" si="3"/>
        <v>9.0051872897541171E-2</v>
      </c>
      <c r="T19" s="16">
        <f t="shared" si="8"/>
        <v>9.6262307319613383E-2</v>
      </c>
      <c r="U19" s="16">
        <f t="shared" si="9"/>
        <v>-3.8619661997098262</v>
      </c>
    </row>
    <row r="20" spans="1:21">
      <c r="A20">
        <v>0.9</v>
      </c>
      <c r="B20">
        <v>0.6</v>
      </c>
      <c r="C20" s="2">
        <v>0.48445078585219159</v>
      </c>
      <c r="D20" s="4">
        <v>111.73803380029017</v>
      </c>
      <c r="E20">
        <v>30</v>
      </c>
      <c r="F20" s="4">
        <f t="shared" si="0"/>
        <v>38.261966199709839</v>
      </c>
      <c r="G20" s="4">
        <f t="shared" si="1"/>
        <v>111.73803380029017</v>
      </c>
      <c r="H20" s="2">
        <f t="shared" si="4"/>
        <v>0.48445078585219159</v>
      </c>
      <c r="I20">
        <v>4</v>
      </c>
      <c r="J20" s="3">
        <v>611.46717922786559</v>
      </c>
      <c r="K20" s="3">
        <v>500.97407352525892</v>
      </c>
      <c r="L20" s="3">
        <v>114.2</v>
      </c>
      <c r="M20" s="2">
        <f t="shared" si="5"/>
        <v>935.95401949522375</v>
      </c>
      <c r="N20" s="2">
        <f t="shared" si="6"/>
        <v>0.5459528385963085</v>
      </c>
      <c r="O20" s="2">
        <f t="shared" si="6"/>
        <v>0.44729827993326682</v>
      </c>
      <c r="P20" s="2">
        <f t="shared" si="7"/>
        <v>114.2</v>
      </c>
      <c r="Q20" s="2">
        <f t="shared" si="6"/>
        <v>0.83567323169216401</v>
      </c>
      <c r="R20" s="5">
        <f t="shared" si="2"/>
        <v>6.4326768307836013E-2</v>
      </c>
      <c r="S20" s="5">
        <f t="shared" si="3"/>
        <v>9.0078602339485808E-2</v>
      </c>
      <c r="T20" s="5">
        <f t="shared" si="8"/>
        <v>7.6689948708763556E-2</v>
      </c>
      <c r="U20" s="5">
        <f t="shared" si="9"/>
        <v>-2.4619661997098348</v>
      </c>
    </row>
    <row r="21" spans="1:21">
      <c r="A21" s="7">
        <v>0.9</v>
      </c>
      <c r="B21" s="7">
        <v>0.6</v>
      </c>
      <c r="C21" s="9">
        <v>0.48445078585219159</v>
      </c>
      <c r="D21" s="8">
        <v>111.73803380029017</v>
      </c>
      <c r="E21" s="7">
        <v>30</v>
      </c>
      <c r="F21" s="8">
        <f t="shared" si="0"/>
        <v>38.261966199709839</v>
      </c>
      <c r="G21" s="8">
        <f t="shared" si="1"/>
        <v>111.73803380029017</v>
      </c>
      <c r="H21" s="9">
        <f t="shared" si="4"/>
        <v>0.48445078585219159</v>
      </c>
      <c r="I21" s="7">
        <v>6</v>
      </c>
      <c r="J21" s="10">
        <v>604.22091207465178</v>
      </c>
      <c r="K21" s="10">
        <v>501.67684391017218</v>
      </c>
      <c r="L21" s="10">
        <v>115.1</v>
      </c>
      <c r="M21" s="2">
        <f t="shared" si="5"/>
        <v>934.84346961706035</v>
      </c>
      <c r="N21" s="9">
        <f t="shared" si="6"/>
        <v>0.53948295720951045</v>
      </c>
      <c r="O21" s="9">
        <f t="shared" si="6"/>
        <v>0.4479257534912251</v>
      </c>
      <c r="P21" s="9">
        <f t="shared" si="7"/>
        <v>115.1</v>
      </c>
      <c r="Q21" s="9">
        <f t="shared" si="6"/>
        <v>0.83468166930094667</v>
      </c>
      <c r="R21" s="11">
        <f t="shared" si="2"/>
        <v>6.5318330699053351E-2</v>
      </c>
      <c r="S21" s="11">
        <f t="shared" si="3"/>
        <v>0.10086173798414921</v>
      </c>
      <c r="T21" s="11">
        <f t="shared" si="8"/>
        <v>7.5394722080418849E-2</v>
      </c>
      <c r="U21" s="11">
        <f t="shared" si="9"/>
        <v>-3.3619661997098262</v>
      </c>
    </row>
    <row r="22" spans="1:21">
      <c r="A22" s="12">
        <v>0.9</v>
      </c>
      <c r="B22" s="12">
        <v>0.6</v>
      </c>
      <c r="C22" s="14">
        <v>0.79372539331937708</v>
      </c>
      <c r="D22" s="13">
        <v>79.106605350869103</v>
      </c>
      <c r="E22" s="12">
        <v>60</v>
      </c>
      <c r="F22" s="13">
        <f t="shared" si="0"/>
        <v>40.893394649130897</v>
      </c>
      <c r="G22" s="13">
        <f t="shared" si="1"/>
        <v>79.106605350869103</v>
      </c>
      <c r="H22" s="14">
        <f t="shared" si="4"/>
        <v>0.79372539331937708</v>
      </c>
      <c r="I22" s="12">
        <v>2</v>
      </c>
      <c r="J22" s="15">
        <v>592.82232789835393</v>
      </c>
      <c r="K22" s="15">
        <v>786.53802957368021</v>
      </c>
      <c r="L22" s="15">
        <v>86.1</v>
      </c>
      <c r="M22" s="2">
        <f t="shared" si="5"/>
        <v>952.18297163340901</v>
      </c>
      <c r="N22" s="14">
        <f t="shared" si="6"/>
        <v>0.52930564990924445</v>
      </c>
      <c r="O22" s="14">
        <f t="shared" si="6"/>
        <v>0.70226609783364302</v>
      </c>
      <c r="P22" s="14">
        <f t="shared" si="7"/>
        <v>86.1</v>
      </c>
      <c r="Q22" s="14">
        <f t="shared" si="6"/>
        <v>0.85016336752982946</v>
      </c>
      <c r="R22" s="16">
        <f t="shared" si="2"/>
        <v>4.9836632470170561E-2</v>
      </c>
      <c r="S22" s="16">
        <f t="shared" si="3"/>
        <v>0.11782391681792589</v>
      </c>
      <c r="T22" s="16">
        <f t="shared" si="8"/>
        <v>0.11522788140020224</v>
      </c>
      <c r="U22" s="16">
        <f t="shared" si="9"/>
        <v>-6.9933946491308916</v>
      </c>
    </row>
    <row r="23" spans="1:21">
      <c r="A23">
        <v>0.9</v>
      </c>
      <c r="B23">
        <v>0.6</v>
      </c>
      <c r="C23" s="2">
        <v>0.79372539331937708</v>
      </c>
      <c r="D23" s="4">
        <v>79.106605350869103</v>
      </c>
      <c r="E23">
        <v>60</v>
      </c>
      <c r="F23" s="4">
        <f t="shared" si="0"/>
        <v>40.893394649130897</v>
      </c>
      <c r="G23" s="4">
        <f t="shared" si="1"/>
        <v>79.106605350869103</v>
      </c>
      <c r="H23" s="2">
        <f t="shared" si="4"/>
        <v>0.79372539331937708</v>
      </c>
      <c r="I23">
        <v>4</v>
      </c>
      <c r="J23" s="3">
        <v>593.42696084155261</v>
      </c>
      <c r="K23" s="3">
        <v>793.46027597668785</v>
      </c>
      <c r="L23" s="3">
        <v>83.5</v>
      </c>
      <c r="M23" s="2">
        <f t="shared" si="5"/>
        <v>935.48323015275321</v>
      </c>
      <c r="N23" s="2">
        <f t="shared" si="6"/>
        <v>0.52984550075138626</v>
      </c>
      <c r="O23" s="2">
        <f t="shared" si="6"/>
        <v>0.70844667497918556</v>
      </c>
      <c r="P23" s="2">
        <f t="shared" si="7"/>
        <v>83.5</v>
      </c>
      <c r="Q23" s="2">
        <f t="shared" si="6"/>
        <v>0.83525288406495812</v>
      </c>
      <c r="R23" s="5">
        <f t="shared" si="2"/>
        <v>6.4747115935041899E-2</v>
      </c>
      <c r="S23" s="5">
        <f t="shared" si="3"/>
        <v>0.11692416541435621</v>
      </c>
      <c r="T23" s="5">
        <f t="shared" si="8"/>
        <v>0.10744108612117603</v>
      </c>
      <c r="U23" s="5">
        <f t="shared" si="9"/>
        <v>-4.3933946491308973</v>
      </c>
    </row>
    <row r="24" spans="1:21">
      <c r="A24">
        <v>0.9</v>
      </c>
      <c r="B24">
        <v>0.6</v>
      </c>
      <c r="C24" s="2">
        <v>0.79372539331937708</v>
      </c>
      <c r="D24" s="4">
        <v>79.106605350869103</v>
      </c>
      <c r="E24">
        <v>60</v>
      </c>
      <c r="F24" s="4">
        <f t="shared" si="0"/>
        <v>40.893394649130897</v>
      </c>
      <c r="G24" s="4">
        <f t="shared" si="1"/>
        <v>79.106605350869103</v>
      </c>
      <c r="H24" s="2">
        <f t="shared" si="4"/>
        <v>0.79372539331937708</v>
      </c>
      <c r="I24">
        <v>6</v>
      </c>
      <c r="J24" s="3">
        <v>588.02746593315362</v>
      </c>
      <c r="K24" s="3">
        <v>784.49337270400281</v>
      </c>
      <c r="L24" s="3">
        <v>84.6</v>
      </c>
      <c r="M24" s="2">
        <f t="shared" si="5"/>
        <v>935.08349127301619</v>
      </c>
      <c r="N24" s="2">
        <f t="shared" si="6"/>
        <v>0.52502452315460146</v>
      </c>
      <c r="O24" s="2">
        <f t="shared" si="6"/>
        <v>0.70044051134285967</v>
      </c>
      <c r="P24" s="2">
        <f t="shared" si="7"/>
        <v>84.6</v>
      </c>
      <c r="Q24" s="2">
        <f t="shared" si="6"/>
        <v>0.83489597435090723</v>
      </c>
      <c r="R24" s="5">
        <f t="shared" si="2"/>
        <v>6.5104025649092789E-2</v>
      </c>
      <c r="S24" s="5">
        <f t="shared" si="3"/>
        <v>0.1249591280756642</v>
      </c>
      <c r="T24" s="5">
        <f t="shared" si="8"/>
        <v>0.11752790418660788</v>
      </c>
      <c r="U24" s="5">
        <f t="shared" si="9"/>
        <v>-5.4933946491308916</v>
      </c>
    </row>
    <row r="25" spans="1:21">
      <c r="A25" s="7">
        <v>0.9</v>
      </c>
      <c r="B25" s="7">
        <v>0.6</v>
      </c>
      <c r="C25" s="9">
        <v>0.79372539331937708</v>
      </c>
      <c r="D25" s="8">
        <v>79.106605350869103</v>
      </c>
      <c r="E25" s="7">
        <v>60</v>
      </c>
      <c r="F25" s="8">
        <f t="shared" si="0"/>
        <v>40.893394649130897</v>
      </c>
      <c r="G25" s="8">
        <f t="shared" si="1"/>
        <v>79.106605350869103</v>
      </c>
      <c r="H25" s="9">
        <f t="shared" si="4"/>
        <v>0.79372539331937708</v>
      </c>
      <c r="I25" s="7">
        <v>8</v>
      </c>
      <c r="J25" s="10">
        <v>588.910630706544</v>
      </c>
      <c r="K25" s="10">
        <v>782.68674268729126</v>
      </c>
      <c r="L25" s="10">
        <v>84.7</v>
      </c>
      <c r="M25" s="2">
        <f t="shared" si="5"/>
        <v>935.01927709823133</v>
      </c>
      <c r="N25" s="9">
        <f t="shared" si="6"/>
        <v>0.52581306313084286</v>
      </c>
      <c r="O25" s="9">
        <f t="shared" si="6"/>
        <v>0.69882744882793857</v>
      </c>
      <c r="P25" s="9">
        <f t="shared" si="7"/>
        <v>84.7</v>
      </c>
      <c r="Q25" s="9">
        <f t="shared" si="6"/>
        <v>0.83483864026627796</v>
      </c>
      <c r="R25" s="11">
        <f t="shared" si="2"/>
        <v>6.5161359733722057E-2</v>
      </c>
      <c r="S25" s="11">
        <f t="shared" si="3"/>
        <v>0.12364489478192853</v>
      </c>
      <c r="T25" s="11">
        <f t="shared" si="8"/>
        <v>0.11956017193121819</v>
      </c>
      <c r="U25" s="11">
        <f t="shared" si="9"/>
        <v>-5.5933946491309001</v>
      </c>
    </row>
    <row r="26" spans="1:21">
      <c r="A26" s="12">
        <v>0.9</v>
      </c>
      <c r="B26" s="12">
        <v>0.6</v>
      </c>
      <c r="C26" s="14">
        <v>1.0816653826391966</v>
      </c>
      <c r="D26" s="13">
        <v>56.309932474020208</v>
      </c>
      <c r="E26" s="12">
        <v>90</v>
      </c>
      <c r="F26" s="13">
        <f t="shared" si="0"/>
        <v>33.690067525979792</v>
      </c>
      <c r="G26" s="13">
        <f t="shared" si="1"/>
        <v>56.309932474020208</v>
      </c>
      <c r="H26" s="14">
        <f t="shared" si="4"/>
        <v>1.0816653826391966</v>
      </c>
      <c r="I26" s="12">
        <v>1</v>
      </c>
      <c r="J26" s="15">
        <v>562.37292412668842</v>
      </c>
      <c r="K26" s="15">
        <v>1020.51175541957</v>
      </c>
      <c r="L26" s="15">
        <v>66</v>
      </c>
      <c r="M26" s="2">
        <f t="shared" si="5"/>
        <v>943.84775022546216</v>
      </c>
      <c r="N26" s="14">
        <f t="shared" si="6"/>
        <v>0.50211868225597178</v>
      </c>
      <c r="O26" s="14">
        <f t="shared" si="6"/>
        <v>0.91117121019604463</v>
      </c>
      <c r="P26" s="14">
        <f t="shared" si="7"/>
        <v>66</v>
      </c>
      <c r="Q26" s="14">
        <f t="shared" si="6"/>
        <v>0.84272120555844832</v>
      </c>
      <c r="R26" s="16">
        <f t="shared" si="2"/>
        <v>5.7278794441551706E-2</v>
      </c>
      <c r="S26" s="16">
        <f t="shared" si="3"/>
        <v>0.16313552957338034</v>
      </c>
      <c r="T26" s="16">
        <f t="shared" si="8"/>
        <v>0.15762191818245747</v>
      </c>
      <c r="U26" s="16">
        <f t="shared" si="9"/>
        <v>-9.6900675259797922</v>
      </c>
    </row>
    <row r="27" spans="1:21">
      <c r="A27">
        <v>0.9</v>
      </c>
      <c r="B27">
        <v>0.6</v>
      </c>
      <c r="C27" s="2">
        <v>1.0816653826391966</v>
      </c>
      <c r="D27" s="4">
        <v>56.309932474020208</v>
      </c>
      <c r="E27">
        <v>90</v>
      </c>
      <c r="F27" s="4">
        <f t="shared" si="0"/>
        <v>33.690067525979792</v>
      </c>
      <c r="G27" s="4">
        <f t="shared" si="1"/>
        <v>56.309932474020208</v>
      </c>
      <c r="H27" s="2">
        <f t="shared" si="4"/>
        <v>1.0816653826391966</v>
      </c>
      <c r="I27">
        <v>3</v>
      </c>
      <c r="J27" s="3">
        <v>549.19448888180887</v>
      </c>
      <c r="K27" s="3">
        <v>1042.509436631562</v>
      </c>
      <c r="L27" s="3">
        <v>64.5</v>
      </c>
      <c r="M27" s="2">
        <f t="shared" si="5"/>
        <v>946.29302486453446</v>
      </c>
      <c r="N27" s="2">
        <f t="shared" si="6"/>
        <v>0.49035222221590075</v>
      </c>
      <c r="O27" s="2">
        <f t="shared" si="6"/>
        <v>0.93081199699246597</v>
      </c>
      <c r="P27" s="2">
        <f t="shared" si="7"/>
        <v>64.5</v>
      </c>
      <c r="Q27" s="2">
        <f t="shared" si="6"/>
        <v>0.84490448648619143</v>
      </c>
      <c r="R27" s="5">
        <f t="shared" si="2"/>
        <v>5.5095513513808592E-2</v>
      </c>
      <c r="S27" s="5">
        <f t="shared" si="3"/>
        <v>0.18274629630683206</v>
      </c>
      <c r="T27" s="5">
        <f t="shared" si="8"/>
        <v>0.13946400436580281</v>
      </c>
      <c r="U27" s="5">
        <f t="shared" si="9"/>
        <v>-8.1900675259797922</v>
      </c>
    </row>
    <row r="28" spans="1:21">
      <c r="A28">
        <v>0.9</v>
      </c>
      <c r="B28">
        <v>0.6</v>
      </c>
      <c r="C28" s="2">
        <v>1.0816653826391966</v>
      </c>
      <c r="D28" s="4">
        <v>56.309932474020208</v>
      </c>
      <c r="E28">
        <v>90</v>
      </c>
      <c r="F28" s="4">
        <f t="shared" si="0"/>
        <v>33.690067525979792</v>
      </c>
      <c r="G28" s="4">
        <f t="shared" si="1"/>
        <v>56.309932474020208</v>
      </c>
      <c r="H28" s="2">
        <f t="shared" si="4"/>
        <v>1.0816653826391966</v>
      </c>
      <c r="I28">
        <v>5</v>
      </c>
      <c r="J28" s="3">
        <v>549.10266263220012</v>
      </c>
      <c r="K28" s="3">
        <v>1078.080776288577</v>
      </c>
      <c r="L28" s="3">
        <v>62.5</v>
      </c>
      <c r="M28" s="2">
        <f t="shared" si="5"/>
        <v>957.64437751325022</v>
      </c>
      <c r="N28" s="2">
        <f t="shared" si="6"/>
        <v>0.49027023449303581</v>
      </c>
      <c r="O28" s="2">
        <f t="shared" si="6"/>
        <v>0.96257212168622941</v>
      </c>
      <c r="P28" s="2">
        <f t="shared" si="7"/>
        <v>62.5</v>
      </c>
      <c r="Q28" s="2">
        <f t="shared" si="6"/>
        <v>0.8550396227796877</v>
      </c>
      <c r="R28" s="5">
        <f t="shared" si="2"/>
        <v>4.496037722031232E-2</v>
      </c>
      <c r="S28" s="5">
        <f t="shared" si="3"/>
        <v>0.18288294251160697</v>
      </c>
      <c r="T28" s="5">
        <f t="shared" si="8"/>
        <v>0.11010175869952225</v>
      </c>
      <c r="U28" s="5">
        <f t="shared" si="9"/>
        <v>-6.1900675259797922</v>
      </c>
    </row>
    <row r="29" spans="1:21">
      <c r="A29" s="7">
        <v>0.9</v>
      </c>
      <c r="B29" s="7">
        <v>0.6</v>
      </c>
      <c r="C29" s="9">
        <v>1.0816653826391966</v>
      </c>
      <c r="D29" s="8">
        <v>56.309932474020208</v>
      </c>
      <c r="E29" s="7">
        <v>90</v>
      </c>
      <c r="F29" s="8">
        <f t="shared" si="0"/>
        <v>33.690067525979792</v>
      </c>
      <c r="G29" s="8">
        <f t="shared" si="1"/>
        <v>56.309932474020208</v>
      </c>
      <c r="H29" s="9">
        <f t="shared" si="4"/>
        <v>1.0816653826391966</v>
      </c>
      <c r="I29" s="7">
        <v>7</v>
      </c>
      <c r="J29" s="10">
        <v>545.3356313659159</v>
      </c>
      <c r="K29" s="10">
        <v>1084.47123322776</v>
      </c>
      <c r="L29" s="10">
        <v>58.1</v>
      </c>
      <c r="M29" s="2">
        <f t="shared" si="5"/>
        <v>921.10319388698247</v>
      </c>
      <c r="N29" s="9">
        <f t="shared" si="6"/>
        <v>0.48690681371956773</v>
      </c>
      <c r="O29" s="9">
        <f t="shared" si="6"/>
        <v>0.96827788681049998</v>
      </c>
      <c r="P29" s="9">
        <f t="shared" si="7"/>
        <v>58.1</v>
      </c>
      <c r="Q29" s="9">
        <f t="shared" si="6"/>
        <v>0.82241356597051996</v>
      </c>
      <c r="R29" s="11">
        <f t="shared" si="2"/>
        <v>7.7586434029480067E-2</v>
      </c>
      <c r="S29" s="11">
        <f t="shared" si="3"/>
        <v>0.18848864380072042</v>
      </c>
      <c r="T29" s="11">
        <f t="shared" si="8"/>
        <v>0.104826776976109</v>
      </c>
      <c r="U29" s="11">
        <f t="shared" si="9"/>
        <v>-1.7900675259797936</v>
      </c>
    </row>
    <row r="30" spans="1:21">
      <c r="A30" s="12">
        <v>0.9</v>
      </c>
      <c r="B30" s="12">
        <v>0.9</v>
      </c>
      <c r="C30" s="14">
        <v>0.46587428118453739</v>
      </c>
      <c r="D30" s="13">
        <v>75.000000000000014</v>
      </c>
      <c r="E30" s="12">
        <v>30</v>
      </c>
      <c r="F30" s="13">
        <f t="shared" si="0"/>
        <v>74.999999999999986</v>
      </c>
      <c r="G30" s="13">
        <f t="shared" si="1"/>
        <v>75.000000000000014</v>
      </c>
      <c r="H30" s="14">
        <f t="shared" si="4"/>
        <v>0.46587428118453739</v>
      </c>
      <c r="I30" s="12">
        <v>2</v>
      </c>
      <c r="J30" s="15">
        <v>895.07877010193749</v>
      </c>
      <c r="K30" s="15">
        <v>461.15847630915732</v>
      </c>
      <c r="L30" s="15">
        <v>80</v>
      </c>
      <c r="M30" s="2">
        <f t="shared" si="5"/>
        <v>932.99438920461296</v>
      </c>
      <c r="N30" s="14">
        <f t="shared" si="6"/>
        <v>0.79917747330530131</v>
      </c>
      <c r="O30" s="14">
        <f t="shared" si="6"/>
        <v>0.41174863956174756</v>
      </c>
      <c r="P30" s="14">
        <f t="shared" si="7"/>
        <v>80</v>
      </c>
      <c r="Q30" s="14">
        <f t="shared" si="6"/>
        <v>0.83303070464697582</v>
      </c>
      <c r="R30" s="16">
        <f t="shared" si="2"/>
        <v>6.6969295353024205E-2</v>
      </c>
      <c r="S30" s="16">
        <f t="shared" si="3"/>
        <v>0.11202502966077635</v>
      </c>
      <c r="T30" s="16">
        <f t="shared" si="8"/>
        <v>0.11618078912870942</v>
      </c>
      <c r="U30" s="16">
        <f t="shared" si="9"/>
        <v>-4.9999999999999858</v>
      </c>
    </row>
    <row r="31" spans="1:21">
      <c r="A31">
        <v>0.9</v>
      </c>
      <c r="B31">
        <v>0.9</v>
      </c>
      <c r="C31" s="2">
        <v>0.46587428118453739</v>
      </c>
      <c r="D31" s="4">
        <v>75.000000000000014</v>
      </c>
      <c r="E31">
        <v>30</v>
      </c>
      <c r="F31" s="4">
        <f t="shared" si="0"/>
        <v>74.999999999999986</v>
      </c>
      <c r="G31" s="4">
        <f t="shared" si="1"/>
        <v>75.000000000000014</v>
      </c>
      <c r="H31" s="2">
        <f t="shared" si="4"/>
        <v>0.46587428118453739</v>
      </c>
      <c r="I31">
        <v>4</v>
      </c>
      <c r="J31" s="3">
        <v>890.06136742765659</v>
      </c>
      <c r="K31" s="3">
        <v>441.01623342257722</v>
      </c>
      <c r="L31" s="3">
        <v>83.6</v>
      </c>
      <c r="M31" s="2">
        <f t="shared" si="5"/>
        <v>948.25862452128206</v>
      </c>
      <c r="N31" s="2">
        <f t="shared" si="6"/>
        <v>0.79469764948897903</v>
      </c>
      <c r="O31" s="2">
        <f t="shared" si="6"/>
        <v>0.39376449412730102</v>
      </c>
      <c r="P31" s="2">
        <f t="shared" si="7"/>
        <v>83.6</v>
      </c>
      <c r="Q31" s="2">
        <f t="shared" si="6"/>
        <v>0.84665948617971609</v>
      </c>
      <c r="R31" s="5">
        <f t="shared" si="2"/>
        <v>5.334051382028393E-2</v>
      </c>
      <c r="S31" s="5">
        <f t="shared" si="3"/>
        <v>0.11700261167891221</v>
      </c>
      <c r="T31" s="5">
        <f t="shared" si="8"/>
        <v>0.15478379032619954</v>
      </c>
      <c r="U31" s="5">
        <f t="shared" si="9"/>
        <v>-8.5999999999999801</v>
      </c>
    </row>
    <row r="32" spans="1:21">
      <c r="A32" s="7">
        <v>0.9</v>
      </c>
      <c r="B32" s="7">
        <v>0.9</v>
      </c>
      <c r="C32" s="9">
        <v>0.46587428118453739</v>
      </c>
      <c r="D32" s="8">
        <v>75.000000000000014</v>
      </c>
      <c r="E32" s="7">
        <v>30</v>
      </c>
      <c r="F32" s="8">
        <f t="shared" si="0"/>
        <v>74.999999999999986</v>
      </c>
      <c r="G32" s="8">
        <f t="shared" si="1"/>
        <v>75.000000000000014</v>
      </c>
      <c r="H32" s="9">
        <f t="shared" si="4"/>
        <v>0.46587428118453739</v>
      </c>
      <c r="I32" s="7">
        <v>6</v>
      </c>
      <c r="J32" s="10">
        <v>874.29574128126092</v>
      </c>
      <c r="K32" s="10">
        <v>454.21359652181548</v>
      </c>
      <c r="L32" s="10">
        <v>81.7</v>
      </c>
      <c r="M32" s="2">
        <f t="shared" si="5"/>
        <v>925.22993237802552</v>
      </c>
      <c r="N32" s="9">
        <f t="shared" si="6"/>
        <v>0.78062119757255433</v>
      </c>
      <c r="O32" s="9">
        <f t="shared" si="6"/>
        <v>0.40554785403733518</v>
      </c>
      <c r="P32" s="9">
        <f t="shared" si="7"/>
        <v>81.7</v>
      </c>
      <c r="Q32" s="9">
        <f t="shared" si="6"/>
        <v>0.82609815390895125</v>
      </c>
      <c r="R32" s="11">
        <f t="shared" si="2"/>
        <v>7.3901846091048773E-2</v>
      </c>
      <c r="S32" s="11">
        <f t="shared" si="3"/>
        <v>0.13264311380827298</v>
      </c>
      <c r="T32" s="11">
        <f t="shared" si="8"/>
        <v>0.12949078664273017</v>
      </c>
      <c r="U32" s="11">
        <f t="shared" si="9"/>
        <v>-6.6999999999999886</v>
      </c>
    </row>
    <row r="33" spans="1:21">
      <c r="A33" s="12">
        <v>0.9</v>
      </c>
      <c r="B33" s="12">
        <v>0.9</v>
      </c>
      <c r="C33" s="14">
        <v>0.89999999999999991</v>
      </c>
      <c r="D33" s="13">
        <v>59.999999999999993</v>
      </c>
      <c r="E33" s="12">
        <v>60</v>
      </c>
      <c r="F33" s="13">
        <f t="shared" si="0"/>
        <v>60.000000000000007</v>
      </c>
      <c r="G33" s="13">
        <f t="shared" si="1"/>
        <v>59.999999999999993</v>
      </c>
      <c r="H33" s="14">
        <f t="shared" si="4"/>
        <v>0.89999999999999991</v>
      </c>
      <c r="I33" s="12">
        <v>1</v>
      </c>
      <c r="J33" s="15">
        <v>849.96404426695233</v>
      </c>
      <c r="K33" s="15">
        <v>870.72800223409945</v>
      </c>
      <c r="L33" s="15">
        <v>65.900000000000006</v>
      </c>
      <c r="M33" s="2">
        <f t="shared" si="5"/>
        <v>936.05854300569467</v>
      </c>
      <c r="N33" s="14">
        <f t="shared" si="6"/>
        <v>0.75889646809549316</v>
      </c>
      <c r="O33" s="14">
        <f t="shared" si="6"/>
        <v>0.77743571628044583</v>
      </c>
      <c r="P33" s="14">
        <f t="shared" si="7"/>
        <v>65.900000000000006</v>
      </c>
      <c r="Q33" s="14">
        <f t="shared" si="6"/>
        <v>0.83576655625508445</v>
      </c>
      <c r="R33" s="16">
        <f t="shared" si="2"/>
        <v>6.4233443744915575E-2</v>
      </c>
      <c r="S33" s="16">
        <f t="shared" si="3"/>
        <v>0.15678170211611872</v>
      </c>
      <c r="T33" s="16">
        <f t="shared" si="8"/>
        <v>0.13618253746617121</v>
      </c>
      <c r="U33" s="16">
        <f t="shared" si="9"/>
        <v>-5.9000000000000128</v>
      </c>
    </row>
    <row r="34" spans="1:21">
      <c r="A34">
        <v>0.9</v>
      </c>
      <c r="B34">
        <v>0.9</v>
      </c>
      <c r="C34" s="2">
        <v>0.89999999999999991</v>
      </c>
      <c r="D34" s="4">
        <v>59.999999999999993</v>
      </c>
      <c r="E34">
        <v>60</v>
      </c>
      <c r="F34" s="4">
        <f t="shared" si="0"/>
        <v>60.000000000000007</v>
      </c>
      <c r="G34" s="4">
        <f t="shared" si="1"/>
        <v>59.999999999999993</v>
      </c>
      <c r="H34" s="2">
        <f t="shared" si="4"/>
        <v>0.89999999999999991</v>
      </c>
      <c r="I34">
        <v>3</v>
      </c>
      <c r="J34" s="3">
        <v>885.84154862858304</v>
      </c>
      <c r="K34" s="3">
        <v>873.08454178528518</v>
      </c>
      <c r="L34" s="3">
        <v>64.900000000000006</v>
      </c>
      <c r="M34" s="2">
        <f t="shared" si="5"/>
        <v>943.83676788072637</v>
      </c>
      <c r="N34" s="2">
        <f t="shared" si="6"/>
        <v>0.79092995413266343</v>
      </c>
      <c r="O34" s="2">
        <f t="shared" si="6"/>
        <v>0.77953976945114745</v>
      </c>
      <c r="P34" s="2">
        <f t="shared" si="7"/>
        <v>64.900000000000006</v>
      </c>
      <c r="Q34" s="2">
        <f t="shared" si="6"/>
        <v>0.84271139989350563</v>
      </c>
      <c r="R34" s="5">
        <f t="shared" si="2"/>
        <v>5.7288600106494392E-2</v>
      </c>
      <c r="S34" s="5">
        <f t="shared" si="3"/>
        <v>0.12118893985259621</v>
      </c>
      <c r="T34" s="5">
        <f t="shared" si="8"/>
        <v>0.13384470060983608</v>
      </c>
      <c r="U34" s="5">
        <f t="shared" si="9"/>
        <v>-4.9000000000000128</v>
      </c>
    </row>
    <row r="35" spans="1:21">
      <c r="A35">
        <v>0.9</v>
      </c>
      <c r="B35">
        <v>0.9</v>
      </c>
      <c r="C35" s="2">
        <v>0.89999999999999991</v>
      </c>
      <c r="D35" s="4">
        <v>59.999999999999993</v>
      </c>
      <c r="E35">
        <v>60</v>
      </c>
      <c r="F35" s="4">
        <f t="shared" si="0"/>
        <v>60.000000000000007</v>
      </c>
      <c r="G35" s="4">
        <f t="shared" si="1"/>
        <v>59.999999999999993</v>
      </c>
      <c r="H35" s="2">
        <f t="shared" si="4"/>
        <v>0.89999999999999991</v>
      </c>
      <c r="I35">
        <v>5</v>
      </c>
      <c r="J35" s="3">
        <v>865.92710909977643</v>
      </c>
      <c r="K35" s="3">
        <v>871.39411402355461</v>
      </c>
      <c r="L35" s="3">
        <v>65</v>
      </c>
      <c r="M35" s="2">
        <f t="shared" si="5"/>
        <v>933.47340024708967</v>
      </c>
      <c r="N35" s="2">
        <f t="shared" si="6"/>
        <v>0.77314920455337177</v>
      </c>
      <c r="O35" s="2">
        <f t="shared" si="6"/>
        <v>0.77803045894960221</v>
      </c>
      <c r="P35" s="2">
        <f t="shared" si="7"/>
        <v>65</v>
      </c>
      <c r="Q35" s="2">
        <f t="shared" si="6"/>
        <v>0.83345839307775849</v>
      </c>
      <c r="R35" s="5">
        <f t="shared" si="2"/>
        <v>6.6541606922241536E-2</v>
      </c>
      <c r="S35" s="5">
        <f t="shared" si="3"/>
        <v>0.14094532827403139</v>
      </c>
      <c r="T35" s="5">
        <f t="shared" si="8"/>
        <v>0.13552171227821969</v>
      </c>
      <c r="U35" s="5">
        <f t="shared" si="9"/>
        <v>-5.0000000000000071</v>
      </c>
    </row>
    <row r="36" spans="1:21">
      <c r="A36" s="7">
        <v>0.9</v>
      </c>
      <c r="B36" s="7">
        <v>0.9</v>
      </c>
      <c r="C36" s="9">
        <v>0.89999999999999991</v>
      </c>
      <c r="D36" s="8">
        <v>59.999999999999993</v>
      </c>
      <c r="E36" s="7">
        <v>60</v>
      </c>
      <c r="F36" s="8">
        <f t="shared" si="0"/>
        <v>60.000000000000007</v>
      </c>
      <c r="G36" s="8">
        <f t="shared" si="1"/>
        <v>59.999999999999993</v>
      </c>
      <c r="H36" s="9">
        <f t="shared" si="4"/>
        <v>0.89999999999999991</v>
      </c>
      <c r="I36" s="7">
        <v>7</v>
      </c>
      <c r="J36" s="10">
        <v>884.3358682930849</v>
      </c>
      <c r="K36" s="10">
        <v>874.0783992891802</v>
      </c>
      <c r="L36" s="10">
        <v>64.2</v>
      </c>
      <c r="M36" s="2">
        <f t="shared" si="5"/>
        <v>934.45924492127267</v>
      </c>
      <c r="N36" s="9">
        <f t="shared" si="6"/>
        <v>0.7895855966902543</v>
      </c>
      <c r="O36" s="9">
        <f t="shared" si="6"/>
        <v>0.78042714222248222</v>
      </c>
      <c r="P36" s="9">
        <f t="shared" si="7"/>
        <v>64.2</v>
      </c>
      <c r="Q36" s="9">
        <f t="shared" si="6"/>
        <v>0.83433861153685052</v>
      </c>
      <c r="R36" s="11">
        <f t="shared" si="2"/>
        <v>6.5661388463149506E-2</v>
      </c>
      <c r="S36" s="11">
        <f t="shared" si="3"/>
        <v>0.12268267034416191</v>
      </c>
      <c r="T36" s="11">
        <f t="shared" si="8"/>
        <v>0.13285873086390856</v>
      </c>
      <c r="U36" s="11">
        <f t="shared" si="9"/>
        <v>-4.2000000000000099</v>
      </c>
    </row>
    <row r="37" spans="1:21">
      <c r="A37" s="12">
        <v>0.9</v>
      </c>
      <c r="B37" s="12">
        <v>0.9</v>
      </c>
      <c r="C37" s="14">
        <v>1.2727922061357855</v>
      </c>
      <c r="D37" s="13">
        <v>44.999999999999979</v>
      </c>
      <c r="E37" s="12">
        <v>90</v>
      </c>
      <c r="F37" s="13">
        <f t="shared" si="0"/>
        <v>45.000000000000021</v>
      </c>
      <c r="G37" s="13">
        <f t="shared" si="1"/>
        <v>44.999999999999979</v>
      </c>
      <c r="H37" s="14">
        <f t="shared" si="4"/>
        <v>1.2727922061357855</v>
      </c>
      <c r="I37" s="12">
        <v>1</v>
      </c>
      <c r="J37" s="15">
        <v>848.05387665723606</v>
      </c>
      <c r="K37" s="15">
        <v>1216.1908231724531</v>
      </c>
      <c r="L37" s="15">
        <v>50.7</v>
      </c>
      <c r="M37" s="2">
        <f t="shared" si="5"/>
        <v>944.34280436905249</v>
      </c>
      <c r="N37" s="14">
        <f t="shared" si="6"/>
        <v>0.75719096130110364</v>
      </c>
      <c r="O37" s="14">
        <f t="shared" si="6"/>
        <v>1.0858846635468331</v>
      </c>
      <c r="P37" s="14">
        <f t="shared" si="7"/>
        <v>50.7</v>
      </c>
      <c r="Q37" s="14">
        <f t="shared" si="6"/>
        <v>0.84316321818665396</v>
      </c>
      <c r="R37" s="16">
        <f t="shared" si="2"/>
        <v>5.683678181334606E-2</v>
      </c>
      <c r="S37" s="16">
        <f t="shared" si="3"/>
        <v>0.15867670966544042</v>
      </c>
      <c r="T37" s="16">
        <f t="shared" si="8"/>
        <v>0.14684843424395741</v>
      </c>
      <c r="U37" s="16">
        <f t="shared" si="9"/>
        <v>-5.7000000000000242</v>
      </c>
    </row>
    <row r="38" spans="1:21">
      <c r="A38" s="7">
        <v>0.9</v>
      </c>
      <c r="B38" s="7">
        <v>0.9</v>
      </c>
      <c r="C38" s="9">
        <v>1.2727922061357855</v>
      </c>
      <c r="D38" s="8">
        <v>44.999999999999979</v>
      </c>
      <c r="E38" s="7">
        <v>90</v>
      </c>
      <c r="F38" s="8">
        <f t="shared" si="0"/>
        <v>45.000000000000021</v>
      </c>
      <c r="G38" s="8">
        <f t="shared" si="1"/>
        <v>44.999999999999979</v>
      </c>
      <c r="H38" s="9">
        <f t="shared" si="4"/>
        <v>1.2727922061357855</v>
      </c>
      <c r="I38" s="7">
        <v>3</v>
      </c>
      <c r="J38" s="10">
        <v>822.16526594311813</v>
      </c>
      <c r="K38" s="10">
        <v>1255.8599704382909</v>
      </c>
      <c r="L38" s="10">
        <v>49.4</v>
      </c>
      <c r="M38" s="2">
        <f t="shared" si="5"/>
        <v>953.55094924557648</v>
      </c>
      <c r="N38" s="9">
        <f t="shared" si="6"/>
        <v>0.73407613030635532</v>
      </c>
      <c r="O38" s="9">
        <f t="shared" si="6"/>
        <v>1.1213035450341882</v>
      </c>
      <c r="P38" s="9">
        <f t="shared" si="7"/>
        <v>49.4</v>
      </c>
      <c r="Q38" s="9">
        <f t="shared" si="6"/>
        <v>0.85138477611212182</v>
      </c>
      <c r="R38" s="11">
        <f t="shared" si="2"/>
        <v>4.8615223887878201E-2</v>
      </c>
      <c r="S38" s="11">
        <f t="shared" si="3"/>
        <v>0.18435985521516077</v>
      </c>
      <c r="T38" s="11">
        <f t="shared" si="8"/>
        <v>0.11902073281978914</v>
      </c>
      <c r="U38" s="11">
        <f t="shared" si="9"/>
        <v>-4.4000000000000199</v>
      </c>
    </row>
    <row r="39" spans="1:21">
      <c r="N39" s="2">
        <f>MIN(N2:N38)</f>
        <v>0.41639419203788736</v>
      </c>
      <c r="O39" s="2">
        <f>MIN(O2:O38)</f>
        <v>0.24310184937178733</v>
      </c>
      <c r="Q39" s="2">
        <f>MIN(Q2:Q38)</f>
        <v>0.53807976094127408</v>
      </c>
    </row>
    <row r="40" spans="1:21">
      <c r="N40" s="2">
        <f>MAX(N2:N38)</f>
        <v>0.79917747330530131</v>
      </c>
      <c r="O40" s="2">
        <f>MAX(O2:O38)</f>
        <v>1.1213035450341882</v>
      </c>
      <c r="Q40" s="2">
        <f>MAX(Q2:Q38)</f>
        <v>0.8550396227796877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2025-08-13T02:37:53Z</dcterms:created>
  <dcterms:modified xsi:type="dcterms:W3CDTF">2025-09-06T10:31:13Z</dcterms:modified>
</cp:coreProperties>
</file>