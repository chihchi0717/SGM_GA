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GA\SGM_GA\main\model_excel\"/>
    </mc:Choice>
  </mc:AlternateContent>
  <xr:revisionPtr revIDLastSave="0" documentId="13_ncr:1_{16B9B378-322A-47DD-BC3F-302EFDDD9DE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1 (5)" sheetId="12" r:id="rId2"/>
    <sheet name="Sheet1 (4)" sheetId="11" r:id="rId3"/>
    <sheet name="Sheet1 (3)" sheetId="10" r:id="rId4"/>
    <sheet name="Sheet1 (2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" i="11" l="1"/>
  <c r="V2" i="11"/>
  <c r="V5" i="11"/>
  <c r="V4" i="11"/>
  <c r="V3" i="11"/>
  <c r="O5" i="11"/>
  <c r="O2" i="11"/>
  <c r="N2" i="11"/>
  <c r="P2" i="11" s="1"/>
  <c r="W13" i="12"/>
  <c r="V13" i="12"/>
  <c r="W12" i="12"/>
  <c r="V12" i="12"/>
  <c r="W11" i="12"/>
  <c r="V11" i="12"/>
  <c r="P11" i="12"/>
  <c r="Q11" i="12" s="1"/>
  <c r="V10" i="12"/>
  <c r="V9" i="12"/>
  <c r="W9" i="12" s="1"/>
  <c r="P9" i="12"/>
  <c r="Q9" i="12" s="1"/>
  <c r="V8" i="12"/>
  <c r="W8" i="12" s="1"/>
  <c r="Q8" i="12"/>
  <c r="P8" i="12"/>
  <c r="Q7" i="12"/>
  <c r="P7" i="12"/>
  <c r="V6" i="12"/>
  <c r="W6" i="12" s="1"/>
  <c r="P6" i="12"/>
  <c r="Q6" i="12" s="1"/>
  <c r="V5" i="12"/>
  <c r="V4" i="12"/>
  <c r="V3" i="12"/>
  <c r="W3" i="12" s="1"/>
  <c r="P3" i="12"/>
  <c r="Q3" i="12" s="1"/>
  <c r="V2" i="12"/>
  <c r="W2" i="12" s="1"/>
  <c r="Q2" i="12"/>
  <c r="P2" i="12"/>
  <c r="U5" i="11"/>
  <c r="W5" i="11" s="1"/>
  <c r="W6" i="11" s="1"/>
  <c r="W7" i="11" s="1"/>
  <c r="P5" i="11"/>
  <c r="N5" i="11"/>
  <c r="U4" i="11"/>
  <c r="W4" i="11" s="1"/>
  <c r="N4" i="11"/>
  <c r="P4" i="11" s="1"/>
  <c r="U3" i="11"/>
  <c r="W3" i="11" s="1"/>
  <c r="N3" i="11"/>
  <c r="P3" i="11" s="1"/>
  <c r="U2" i="11"/>
  <c r="W2" i="11" s="1"/>
  <c r="T7" i="10"/>
  <c r="U7" i="10" s="1"/>
  <c r="N7" i="10"/>
  <c r="O7" i="10" s="1"/>
  <c r="T6" i="10"/>
  <c r="U6" i="10" s="1"/>
  <c r="N6" i="10"/>
  <c r="O6" i="10" s="1"/>
  <c r="T5" i="10"/>
  <c r="U5" i="10" s="1"/>
  <c r="N5" i="10"/>
  <c r="O5" i="10" s="1"/>
  <c r="T4" i="10"/>
  <c r="U4" i="10" s="1"/>
  <c r="N4" i="10"/>
  <c r="O4" i="10" s="1"/>
  <c r="T3" i="10"/>
  <c r="U3" i="10" s="1"/>
  <c r="N3" i="10"/>
  <c r="O3" i="10" s="1"/>
  <c r="T2" i="10"/>
  <c r="U2" i="10" s="1"/>
  <c r="N2" i="10"/>
  <c r="O2" i="10" s="1"/>
  <c r="V7" i="5"/>
  <c r="W7" i="5" s="1"/>
  <c r="P7" i="5"/>
  <c r="Q7" i="5" s="1"/>
  <c r="V6" i="5"/>
  <c r="W6" i="5" s="1"/>
  <c r="P6" i="5"/>
  <c r="Q6" i="5" s="1"/>
  <c r="V5" i="5"/>
  <c r="W5" i="5" s="1"/>
  <c r="P5" i="5"/>
  <c r="Q5" i="5" s="1"/>
  <c r="V4" i="5"/>
  <c r="W4" i="5" s="1"/>
  <c r="P4" i="5"/>
  <c r="Q4" i="5" s="1"/>
  <c r="V3" i="5"/>
  <c r="W3" i="5" s="1"/>
  <c r="P3" i="5"/>
  <c r="Q3" i="5" s="1"/>
  <c r="V2" i="5"/>
  <c r="W2" i="5" s="1"/>
  <c r="P2" i="5"/>
  <c r="Q2" i="5" s="1"/>
  <c r="P6" i="11" l="1"/>
  <c r="P7" i="11" s="1"/>
  <c r="O4" i="11"/>
  <c r="O3" i="11"/>
  <c r="O6" i="11" s="1"/>
</calcChain>
</file>

<file path=xl/sharedStrings.xml><?xml version="1.0" encoding="utf-8"?>
<sst xmlns="http://schemas.openxmlformats.org/spreadsheetml/2006/main" count="75" uniqueCount="20">
  <si>
    <t>Design_s1(mm)</t>
  </si>
  <si>
    <t>Design_s2(mm)</t>
  </si>
  <si>
    <t>Design_s3(mm)</t>
  </si>
  <si>
    <t>Design_a3(deg)</t>
  </si>
  <si>
    <t>Design_a1(deg)</t>
  </si>
  <si>
    <t>Design_a2(deg)</t>
  </si>
  <si>
    <t>DIP_a3(deg)</t>
  </si>
  <si>
    <t>DIP_s2(mm)</t>
  </si>
  <si>
    <t>DIP_s3(mm)</t>
  </si>
  <si>
    <t>delta_s2</t>
  </si>
  <si>
    <t>delta_s3</t>
  </si>
  <si>
    <t>Rvertex</t>
    <phoneticPr fontId="2" type="noConversion"/>
  </si>
  <si>
    <t>Rvally</t>
    <phoneticPr fontId="2" type="noConversion"/>
  </si>
  <si>
    <t>Rvertex_avg</t>
    <phoneticPr fontId="2" type="noConversion"/>
  </si>
  <si>
    <t>Rvally_avg</t>
    <phoneticPr fontId="2" type="noConversion"/>
  </si>
  <si>
    <t>Rvertex_px</t>
    <phoneticPr fontId="2" type="noConversion"/>
  </si>
  <si>
    <t>Rvally_px</t>
    <phoneticPr fontId="2" type="noConversion"/>
  </si>
  <si>
    <t>Rv</t>
    <phoneticPr fontId="2" type="noConversion"/>
  </si>
  <si>
    <t>Rt</t>
    <phoneticPr fontId="2" type="noConversion"/>
  </si>
  <si>
    <t>Rvally_avg(um)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</si>
</sst>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2" fontId="0" fillId="0" borderId="0" xfId="0" applyNumberFormat="1"/>
    <xf numFmtId="176" fontId="0" fillId="0" borderId="0" xfId="0" applyNumberFormat="1"/>
    <xf numFmtId="1" fontId="0" fillId="0" borderId="0" xfId="0" applyNumberFormat="1"/>
    <xf numFmtId="176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1" fillId="0" borderId="7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workbookViewId="0">
      <selection activeCell="L2" sqref="L2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17</v>
      </c>
      <c r="M1" s="2" t="s">
        <v>18</v>
      </c>
    </row>
    <row r="2" spans="1:1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</row>
    <row r="3" spans="1:1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</row>
    <row r="4" spans="1:1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</row>
    <row r="5" spans="1:1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</row>
    <row r="6" spans="1:1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</row>
    <row r="7" spans="1:1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</row>
    <row r="8" spans="1:1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</row>
    <row r="9" spans="1:1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</row>
    <row r="10" spans="1:1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</row>
    <row r="11" spans="1:1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</row>
    <row r="12" spans="1:1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</row>
    <row r="13" spans="1:1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D5965-FE3B-42AE-9BF6-3C52C5374D19}">
  <dimension ref="A1:W13"/>
  <sheetViews>
    <sheetView workbookViewId="0">
      <selection activeCell="O18" sqref="O18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2" t="s">
        <v>11</v>
      </c>
      <c r="Q1" s="2" t="s">
        <v>11</v>
      </c>
    </row>
    <row r="2" spans="1:2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  <c r="L2">
        <v>74</v>
      </c>
      <c r="M2">
        <v>80.3</v>
      </c>
      <c r="N2">
        <v>75.3</v>
      </c>
      <c r="P2" s="4">
        <f>AVERAGE(L2:O2)</f>
        <v>76.533333333333346</v>
      </c>
      <c r="Q2" s="6">
        <f>P2/22</f>
        <v>3.4787878787878794</v>
      </c>
      <c r="R2">
        <v>60</v>
      </c>
      <c r="V2">
        <f>AVERAGE(R2:U2)</f>
        <v>60</v>
      </c>
      <c r="W2" s="6">
        <f>V2/22</f>
        <v>2.7272727272727271</v>
      </c>
    </row>
    <row r="3" spans="1:2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  <c r="L3">
        <v>59.5</v>
      </c>
      <c r="M3">
        <v>54.1</v>
      </c>
      <c r="N3">
        <v>58.1</v>
      </c>
      <c r="O3">
        <v>54.4</v>
      </c>
      <c r="P3" s="4">
        <f t="shared" ref="P3:P11" si="0">AVERAGE(L3:O3)</f>
        <v>56.524999999999999</v>
      </c>
      <c r="Q3" s="6">
        <f t="shared" ref="Q3:Q11" si="1">P3/22</f>
        <v>2.5693181818181818</v>
      </c>
      <c r="R3">
        <v>39</v>
      </c>
      <c r="S3">
        <v>49.1</v>
      </c>
      <c r="T3">
        <v>46.9</v>
      </c>
      <c r="V3">
        <f t="shared" ref="V3:V13" si="2">AVERAGE(R3:U3)</f>
        <v>45</v>
      </c>
      <c r="W3" s="6">
        <f>V3/22</f>
        <v>2.0454545454545454</v>
      </c>
    </row>
    <row r="4" spans="1:2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  <c r="P4" s="4"/>
      <c r="Q4" s="6"/>
      <c r="R4">
        <v>49.1</v>
      </c>
      <c r="V4">
        <f t="shared" si="2"/>
        <v>49.1</v>
      </c>
      <c r="W4" s="6"/>
    </row>
    <row r="5" spans="1:2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  <c r="P5" s="4"/>
      <c r="Q5" s="6"/>
      <c r="R5">
        <v>35.5</v>
      </c>
      <c r="S5">
        <v>33.299999999999997</v>
      </c>
      <c r="T5">
        <v>39.200000000000003</v>
      </c>
      <c r="U5">
        <v>38</v>
      </c>
      <c r="V5">
        <f t="shared" si="2"/>
        <v>36.5</v>
      </c>
      <c r="W5" s="6"/>
    </row>
    <row r="6" spans="1:2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  <c r="L6">
        <v>48.4</v>
      </c>
      <c r="M6">
        <v>48.1</v>
      </c>
      <c r="N6">
        <v>51.1</v>
      </c>
      <c r="O6">
        <v>50.1</v>
      </c>
      <c r="P6" s="4">
        <f t="shared" si="0"/>
        <v>49.424999999999997</v>
      </c>
      <c r="Q6" s="6">
        <f t="shared" si="1"/>
        <v>2.2465909090909091</v>
      </c>
      <c r="R6">
        <v>28.8</v>
      </c>
      <c r="S6">
        <v>30</v>
      </c>
      <c r="V6">
        <f t="shared" si="2"/>
        <v>29.4</v>
      </c>
      <c r="W6" s="6">
        <f>V6/22</f>
        <v>1.3363636363636362</v>
      </c>
    </row>
    <row r="7" spans="1:2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  <c r="L7">
        <v>59.2</v>
      </c>
      <c r="M7">
        <v>59.7</v>
      </c>
      <c r="N7">
        <v>56.8</v>
      </c>
      <c r="P7" s="4">
        <f t="shared" si="0"/>
        <v>58.566666666666663</v>
      </c>
      <c r="Q7" s="6">
        <f t="shared" si="1"/>
        <v>2.6621212121212121</v>
      </c>
      <c r="W7" s="6"/>
    </row>
    <row r="8" spans="1:2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  <c r="L8">
        <v>71.900000000000006</v>
      </c>
      <c r="M8">
        <v>71.5</v>
      </c>
      <c r="N8">
        <v>72</v>
      </c>
      <c r="P8" s="4">
        <f t="shared" si="0"/>
        <v>71.8</v>
      </c>
      <c r="Q8" s="6">
        <f t="shared" si="1"/>
        <v>3.2636363636363637</v>
      </c>
      <c r="R8">
        <v>77.5</v>
      </c>
      <c r="V8">
        <f t="shared" si="2"/>
        <v>77.5</v>
      </c>
      <c r="W8" s="6">
        <f t="shared" ref="W8:W12" si="3">V8/22</f>
        <v>3.5227272727272729</v>
      </c>
    </row>
    <row r="9" spans="1:2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  <c r="L9">
        <v>56.6</v>
      </c>
      <c r="M9">
        <v>52.3</v>
      </c>
      <c r="N9">
        <v>51.4</v>
      </c>
      <c r="O9">
        <v>49.3</v>
      </c>
      <c r="P9" s="4">
        <f t="shared" si="0"/>
        <v>52.400000000000006</v>
      </c>
      <c r="Q9" s="6">
        <f t="shared" si="1"/>
        <v>2.3818181818181823</v>
      </c>
      <c r="R9">
        <v>34.200000000000003</v>
      </c>
      <c r="S9">
        <v>40.200000000000003</v>
      </c>
      <c r="T9">
        <v>32.9</v>
      </c>
      <c r="U9">
        <v>33.700000000000003</v>
      </c>
      <c r="V9">
        <f t="shared" si="2"/>
        <v>35.25</v>
      </c>
      <c r="W9" s="6">
        <f t="shared" si="3"/>
        <v>1.6022727272727273</v>
      </c>
    </row>
    <row r="10" spans="1:2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  <c r="P10" s="4"/>
      <c r="Q10" s="6"/>
      <c r="R10">
        <v>32.4</v>
      </c>
      <c r="S10">
        <v>35.700000000000003</v>
      </c>
      <c r="V10">
        <f t="shared" si="2"/>
        <v>34.049999999999997</v>
      </c>
      <c r="W10" s="6"/>
    </row>
    <row r="11" spans="1:2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  <c r="L11">
        <v>51.6</v>
      </c>
      <c r="M11">
        <v>53.9</v>
      </c>
      <c r="N11">
        <v>53.2</v>
      </c>
      <c r="O11">
        <v>55.4</v>
      </c>
      <c r="P11" s="4">
        <f t="shared" si="0"/>
        <v>53.524999999999999</v>
      </c>
      <c r="Q11" s="6">
        <f t="shared" si="1"/>
        <v>2.4329545454545456</v>
      </c>
      <c r="R11">
        <v>33.5</v>
      </c>
      <c r="S11">
        <v>33.799999999999997</v>
      </c>
      <c r="V11">
        <f t="shared" si="2"/>
        <v>33.65</v>
      </c>
      <c r="W11" s="6">
        <f t="shared" si="3"/>
        <v>1.5295454545454545</v>
      </c>
    </row>
    <row r="12" spans="1:2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  <c r="L12">
        <v>47.3</v>
      </c>
      <c r="M12">
        <v>47.7</v>
      </c>
      <c r="N12">
        <v>46</v>
      </c>
      <c r="O12">
        <v>47.3</v>
      </c>
      <c r="P12" s="4"/>
      <c r="Q12" s="7"/>
      <c r="R12">
        <v>33.299999999999997</v>
      </c>
      <c r="S12">
        <v>29.2</v>
      </c>
      <c r="T12">
        <v>30</v>
      </c>
      <c r="U12">
        <v>32</v>
      </c>
      <c r="V12">
        <f t="shared" si="2"/>
        <v>31.125</v>
      </c>
      <c r="W12" s="6">
        <f t="shared" si="3"/>
        <v>1.4147727272727273</v>
      </c>
    </row>
    <row r="13" spans="1:2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  <c r="Q13" s="7"/>
      <c r="R13">
        <v>36.200000000000003</v>
      </c>
      <c r="V13">
        <f t="shared" si="2"/>
        <v>36.200000000000003</v>
      </c>
      <c r="W13" s="6">
        <f>V13/22</f>
        <v>1.6454545454545455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9C09C-C53B-4D4E-B105-51033AAB2610}">
  <dimension ref="A1:W13"/>
  <sheetViews>
    <sheetView tabSelected="1" topLeftCell="D1" workbookViewId="0">
      <selection activeCell="V7" sqref="V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customWidth="1"/>
    <col min="12" max="13" width="9" customWidth="1"/>
    <col min="14" max="14" width="15.125" bestFit="1" customWidth="1"/>
    <col min="15" max="15" width="18" bestFit="1" customWidth="1"/>
    <col min="16" max="16" width="13.875" bestFit="1" customWidth="1"/>
    <col min="18" max="20" width="0" hidden="1" customWidth="1"/>
    <col min="21" max="21" width="13.75" bestFit="1" customWidth="1"/>
    <col min="22" max="22" width="13.75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6" t="s">
        <v>19</v>
      </c>
      <c r="P1" s="14" t="s">
        <v>16</v>
      </c>
      <c r="Q1" s="14" t="s">
        <v>11</v>
      </c>
      <c r="R1" s="15"/>
      <c r="S1" s="15"/>
      <c r="T1" s="15"/>
      <c r="U1" s="17" t="s">
        <v>13</v>
      </c>
      <c r="V1" s="17"/>
      <c r="W1" s="17" t="s">
        <v>15</v>
      </c>
    </row>
    <row r="2" spans="1:23">
      <c r="A2" s="5">
        <v>0.6</v>
      </c>
      <c r="B2" s="5">
        <v>0.6</v>
      </c>
      <c r="C2" s="5">
        <v>0.6</v>
      </c>
      <c r="D2" s="5">
        <v>60.000000000000007</v>
      </c>
      <c r="E2" s="5">
        <v>60</v>
      </c>
      <c r="F2" s="9">
        <v>59.999999999999993</v>
      </c>
      <c r="G2" s="5">
        <v>70.7</v>
      </c>
      <c r="H2" s="5">
        <v>0.45901662751675459</v>
      </c>
      <c r="I2" s="9">
        <v>0.48174712180640922</v>
      </c>
      <c r="J2" s="5">
        <v>59.5</v>
      </c>
      <c r="K2" s="5">
        <v>54.1</v>
      </c>
      <c r="L2" s="5">
        <v>58.1</v>
      </c>
      <c r="M2" s="5">
        <v>54.4</v>
      </c>
      <c r="N2" s="5">
        <f>AVERAGE(J2:M2)</f>
        <v>56.524999999999999</v>
      </c>
      <c r="O2" s="5">
        <f>N2/1.12</f>
        <v>50.468749999999993</v>
      </c>
      <c r="P2" s="8">
        <f>N2/22</f>
        <v>2.5693181818181818</v>
      </c>
      <c r="Q2" s="5">
        <v>39</v>
      </c>
      <c r="R2" s="5">
        <v>49.1</v>
      </c>
      <c r="S2" s="5">
        <v>46.9</v>
      </c>
      <c r="T2" s="5"/>
      <c r="U2" s="5">
        <f t="shared" ref="U2:U5" si="0">AVERAGE(Q2:T2)</f>
        <v>45</v>
      </c>
      <c r="V2" s="5">
        <f>U2/1.12</f>
        <v>40.178571428571423</v>
      </c>
      <c r="W2" s="6">
        <f>U2/22</f>
        <v>2.0454545454545454</v>
      </c>
    </row>
    <row r="3" spans="1:23">
      <c r="A3" s="5">
        <v>0.6</v>
      </c>
      <c r="B3" s="5">
        <v>0.9</v>
      </c>
      <c r="C3" s="5">
        <v>0.79372539331937708</v>
      </c>
      <c r="D3" s="5">
        <v>40.893394649130897</v>
      </c>
      <c r="E3" s="5">
        <v>60</v>
      </c>
      <c r="F3" s="9">
        <v>79.106605350869103</v>
      </c>
      <c r="G3" s="5">
        <v>51.825000000000003</v>
      </c>
      <c r="H3" s="5">
        <v>0.68703573164592169</v>
      </c>
      <c r="I3" s="9">
        <v>0.58224553925766087</v>
      </c>
      <c r="J3" s="5">
        <v>48.4</v>
      </c>
      <c r="K3" s="5">
        <v>48.1</v>
      </c>
      <c r="L3" s="5">
        <v>51.1</v>
      </c>
      <c r="M3" s="5">
        <v>50.1</v>
      </c>
      <c r="N3" s="5">
        <f t="shared" ref="N3:N5" si="1">AVERAGE(J3:M3)</f>
        <v>49.424999999999997</v>
      </c>
      <c r="O3" s="5">
        <f t="shared" ref="O3:O5" si="2">N3/1.12</f>
        <v>44.129464285714278</v>
      </c>
      <c r="P3" s="8">
        <f>N3/22</f>
        <v>2.2465909090909091</v>
      </c>
      <c r="Q3" s="5">
        <v>28.8</v>
      </c>
      <c r="R3" s="5">
        <v>30</v>
      </c>
      <c r="S3" s="5"/>
      <c r="T3" s="5"/>
      <c r="U3" s="5">
        <f t="shared" si="0"/>
        <v>29.4</v>
      </c>
      <c r="V3" s="5">
        <f t="shared" ref="V3:V5" si="3">U3/1.12</f>
        <v>26.249999999999996</v>
      </c>
      <c r="W3" s="6">
        <f>U3/22</f>
        <v>1.3363636363636362</v>
      </c>
    </row>
    <row r="4" spans="1:23">
      <c r="A4" s="5">
        <v>0.9</v>
      </c>
      <c r="B4" s="5">
        <v>0.6</v>
      </c>
      <c r="C4" s="5">
        <v>0.79372539331937708</v>
      </c>
      <c r="D4" s="5">
        <v>79.106605350869103</v>
      </c>
      <c r="E4" s="5">
        <v>60</v>
      </c>
      <c r="F4" s="9">
        <v>40.893394649130897</v>
      </c>
      <c r="G4" s="5">
        <v>84.724999999999994</v>
      </c>
      <c r="H4" s="5">
        <v>0.52749718423651881</v>
      </c>
      <c r="I4" s="9">
        <v>0.70249518324590676</v>
      </c>
      <c r="J4" s="5">
        <v>56.6</v>
      </c>
      <c r="K4" s="5">
        <v>52.3</v>
      </c>
      <c r="L4" s="5">
        <v>51.4</v>
      </c>
      <c r="M4" s="5">
        <v>49.3</v>
      </c>
      <c r="N4" s="5">
        <f t="shared" si="1"/>
        <v>52.400000000000006</v>
      </c>
      <c r="O4" s="5">
        <f t="shared" si="2"/>
        <v>46.785714285714285</v>
      </c>
      <c r="P4" s="8">
        <f>N4/22</f>
        <v>2.3818181818181823</v>
      </c>
      <c r="Q4" s="5">
        <v>34.200000000000003</v>
      </c>
      <c r="R4" s="5">
        <v>40.200000000000003</v>
      </c>
      <c r="S4" s="5">
        <v>32.9</v>
      </c>
      <c r="T4" s="5">
        <v>33.700000000000003</v>
      </c>
      <c r="U4" s="5">
        <f t="shared" si="0"/>
        <v>35.25</v>
      </c>
      <c r="V4" s="5">
        <f t="shared" si="3"/>
        <v>31.473214285714281</v>
      </c>
      <c r="W4" s="6">
        <f t="shared" ref="W4:W5" si="4">U4/22</f>
        <v>1.6022727272727273</v>
      </c>
    </row>
    <row r="5" spans="1:23">
      <c r="A5" s="5">
        <v>0.9</v>
      </c>
      <c r="B5" s="5">
        <v>0.9</v>
      </c>
      <c r="C5" s="5">
        <v>0.46587428118453739</v>
      </c>
      <c r="D5" s="5">
        <v>75.000000000000014</v>
      </c>
      <c r="E5" s="5">
        <v>30</v>
      </c>
      <c r="F5" s="9">
        <v>74.999999999999986</v>
      </c>
      <c r="G5" s="5">
        <v>81.766666666666666</v>
      </c>
      <c r="H5" s="5">
        <v>0.79149877345561148</v>
      </c>
      <c r="I5" s="9">
        <v>0.40368699590879459</v>
      </c>
      <c r="J5" s="5">
        <v>51.6</v>
      </c>
      <c r="K5" s="5">
        <v>53.9</v>
      </c>
      <c r="L5" s="5">
        <v>53.2</v>
      </c>
      <c r="M5" s="5">
        <v>55.4</v>
      </c>
      <c r="N5" s="5">
        <f t="shared" si="1"/>
        <v>53.524999999999999</v>
      </c>
      <c r="O5" s="5">
        <f t="shared" si="2"/>
        <v>47.790178571428562</v>
      </c>
      <c r="P5" s="8">
        <f>N5/22</f>
        <v>2.4329545454545456</v>
      </c>
      <c r="Q5" s="5">
        <v>33.5</v>
      </c>
      <c r="R5" s="5">
        <v>33.799999999999997</v>
      </c>
      <c r="S5" s="5"/>
      <c r="T5" s="5"/>
      <c r="U5" s="5">
        <f t="shared" si="0"/>
        <v>33.65</v>
      </c>
      <c r="V5" s="5">
        <f t="shared" si="3"/>
        <v>30.044642857142854</v>
      </c>
      <c r="W5" s="6">
        <f t="shared" si="4"/>
        <v>1.5295454545454545</v>
      </c>
    </row>
    <row r="6" spans="1:23">
      <c r="J6" s="9"/>
      <c r="N6" s="8"/>
      <c r="O6" s="9">
        <f>AVERAGE(O2:O5)</f>
        <v>47.293526785714278</v>
      </c>
      <c r="P6" s="8">
        <f>AVERAGE(P2:P5)</f>
        <v>2.407670454545455</v>
      </c>
      <c r="V6" s="8">
        <f>AVERAGE(V2:V5)</f>
        <v>31.986607142857139</v>
      </c>
      <c r="W6" s="8">
        <f>AVERAGE(W2:W5)</f>
        <v>1.6284090909090909</v>
      </c>
    </row>
    <row r="7" spans="1:23">
      <c r="B7" s="18"/>
      <c r="C7" s="10"/>
      <c r="D7" s="10"/>
      <c r="J7" s="5"/>
      <c r="O7" s="5"/>
      <c r="P7" s="8">
        <f>22*P6</f>
        <v>52.968750000000014</v>
      </c>
      <c r="Q7" s="8"/>
      <c r="R7" s="8"/>
      <c r="S7" s="8"/>
      <c r="T7" s="8"/>
      <c r="U7" s="8"/>
      <c r="V7" s="8"/>
      <c r="W7" s="8">
        <f>22*W6</f>
        <v>35.825000000000003</v>
      </c>
    </row>
    <row r="8" spans="1:23">
      <c r="B8" s="11"/>
      <c r="C8" s="11"/>
      <c r="D8" s="12"/>
      <c r="E8" s="6"/>
    </row>
    <row r="9" spans="1:23">
      <c r="B9" s="11"/>
      <c r="C9" s="11"/>
      <c r="D9" s="12"/>
      <c r="E9" s="6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1656-33D3-474F-86E9-AAFFBFCFE5E3}">
  <dimension ref="A1:U15"/>
  <sheetViews>
    <sheetView workbookViewId="0">
      <selection activeCell="C27" sqref="C2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9">
        <v>75</v>
      </c>
      <c r="G2" s="5">
        <v>93.1</v>
      </c>
      <c r="H2" s="5">
        <v>0.48351229911538041</v>
      </c>
      <c r="I2" s="9">
        <v>0.24457054343076851</v>
      </c>
      <c r="J2" s="5">
        <v>74</v>
      </c>
      <c r="K2" s="5">
        <v>80.3</v>
      </c>
      <c r="L2" s="5">
        <v>75.3</v>
      </c>
      <c r="M2" s="5"/>
      <c r="N2" s="5">
        <f>AVERAGE(J2:M2)</f>
        <v>76.533333333333346</v>
      </c>
      <c r="O2" s="8">
        <f>N2/22</f>
        <v>3.4787878787878794</v>
      </c>
      <c r="P2" s="5">
        <v>60</v>
      </c>
      <c r="Q2" s="5"/>
      <c r="R2" s="5"/>
      <c r="S2" s="5"/>
      <c r="T2" s="5">
        <f>AVERAGE(P2:S2)</f>
        <v>60</v>
      </c>
      <c r="U2" s="6">
        <f>T2/22</f>
        <v>2.7272727272727271</v>
      </c>
    </row>
    <row r="3" spans="1:21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9">
        <v>59.999999999999993</v>
      </c>
      <c r="G3" s="5">
        <v>70.7</v>
      </c>
      <c r="H3" s="5">
        <v>0.45901662751675459</v>
      </c>
      <c r="I3" s="9">
        <v>0.48174712180640922</v>
      </c>
      <c r="J3" s="5">
        <v>59.5</v>
      </c>
      <c r="K3" s="5">
        <v>54.1</v>
      </c>
      <c r="L3" s="5">
        <v>58.1</v>
      </c>
      <c r="M3" s="5">
        <v>54.4</v>
      </c>
      <c r="N3" s="5">
        <f t="shared" ref="N3:N7" si="0">AVERAGE(J3:M3)</f>
        <v>56.524999999999999</v>
      </c>
      <c r="O3" s="8">
        <f t="shared" ref="O3:O7" si="1">N3/22</f>
        <v>2.5693181818181818</v>
      </c>
      <c r="P3" s="5">
        <v>39</v>
      </c>
      <c r="Q3" s="5">
        <v>49.1</v>
      </c>
      <c r="R3" s="5">
        <v>46.9</v>
      </c>
      <c r="S3" s="5"/>
      <c r="T3" s="5">
        <f t="shared" ref="T3:T7" si="2">AVERAGE(P3:S3)</f>
        <v>45</v>
      </c>
      <c r="U3" s="6">
        <f>T3/22</f>
        <v>2.0454545454545454</v>
      </c>
    </row>
    <row r="4" spans="1:21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9">
        <v>79.106605350869103</v>
      </c>
      <c r="G4" s="5">
        <v>51.825000000000003</v>
      </c>
      <c r="H4" s="5">
        <v>0.68703573164592169</v>
      </c>
      <c r="I4" s="9">
        <v>0.58224553925766087</v>
      </c>
      <c r="J4" s="5">
        <v>48.4</v>
      </c>
      <c r="K4" s="5">
        <v>48.1</v>
      </c>
      <c r="L4" s="5">
        <v>51.1</v>
      </c>
      <c r="M4" s="5">
        <v>50.1</v>
      </c>
      <c r="N4" s="5">
        <f t="shared" si="0"/>
        <v>49.424999999999997</v>
      </c>
      <c r="O4" s="8">
        <f t="shared" si="1"/>
        <v>2.2465909090909091</v>
      </c>
      <c r="P4" s="5">
        <v>28.8</v>
      </c>
      <c r="Q4" s="5">
        <v>30</v>
      </c>
      <c r="R4" s="5"/>
      <c r="S4" s="5"/>
      <c r="T4" s="5">
        <f t="shared" si="2"/>
        <v>29.4</v>
      </c>
      <c r="U4" s="6">
        <f>T4/22</f>
        <v>1.3363636363636362</v>
      </c>
    </row>
    <row r="5" spans="1:21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9">
        <v>38.261966199709839</v>
      </c>
      <c r="G5" s="5">
        <v>114.9666666666667</v>
      </c>
      <c r="H5" s="5">
        <v>0.54380155735576474</v>
      </c>
      <c r="I5" s="9">
        <v>0.4443468229492506</v>
      </c>
      <c r="J5" s="5">
        <v>71.900000000000006</v>
      </c>
      <c r="K5" s="5">
        <v>71.5</v>
      </c>
      <c r="L5" s="5">
        <v>72</v>
      </c>
      <c r="M5" s="5"/>
      <c r="N5" s="5">
        <f t="shared" si="0"/>
        <v>71.8</v>
      </c>
      <c r="O5" s="8">
        <f t="shared" si="1"/>
        <v>3.2636363636363637</v>
      </c>
      <c r="P5" s="5">
        <v>77.5</v>
      </c>
      <c r="Q5" s="5"/>
      <c r="R5" s="5"/>
      <c r="S5" s="5"/>
      <c r="T5" s="5">
        <f t="shared" si="2"/>
        <v>77.5</v>
      </c>
      <c r="U5" s="6">
        <f t="shared" ref="U5:U7" si="3">T5/22</f>
        <v>3.5227272727272729</v>
      </c>
    </row>
    <row r="6" spans="1:21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9">
        <v>40.893394649130897</v>
      </c>
      <c r="G6" s="5">
        <v>84.724999999999994</v>
      </c>
      <c r="H6" s="5">
        <v>0.52749718423651881</v>
      </c>
      <c r="I6" s="9">
        <v>0.70249518324590676</v>
      </c>
      <c r="J6" s="5">
        <v>56.6</v>
      </c>
      <c r="K6" s="5">
        <v>52.3</v>
      </c>
      <c r="L6" s="5">
        <v>51.4</v>
      </c>
      <c r="M6" s="5">
        <v>49.3</v>
      </c>
      <c r="N6" s="5">
        <f t="shared" si="0"/>
        <v>52.400000000000006</v>
      </c>
      <c r="O6" s="8">
        <f t="shared" si="1"/>
        <v>2.3818181818181823</v>
      </c>
      <c r="P6" s="5">
        <v>34.200000000000003</v>
      </c>
      <c r="Q6" s="5">
        <v>40.200000000000003</v>
      </c>
      <c r="R6" s="5">
        <v>32.9</v>
      </c>
      <c r="S6" s="5">
        <v>33.700000000000003</v>
      </c>
      <c r="T6" s="5">
        <f t="shared" si="2"/>
        <v>35.25</v>
      </c>
      <c r="U6" s="6">
        <f t="shared" si="3"/>
        <v>1.6022727272727273</v>
      </c>
    </row>
    <row r="7" spans="1:21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9">
        <v>74.999999999999986</v>
      </c>
      <c r="G7" s="5">
        <v>81.766666666666666</v>
      </c>
      <c r="H7" s="5">
        <v>0.79149877345561148</v>
      </c>
      <c r="I7" s="9">
        <v>0.40368699590879459</v>
      </c>
      <c r="J7" s="5">
        <v>51.6</v>
      </c>
      <c r="K7" s="5">
        <v>53.9</v>
      </c>
      <c r="L7" s="5">
        <v>53.2</v>
      </c>
      <c r="M7" s="5">
        <v>55.4</v>
      </c>
      <c r="N7" s="5">
        <f t="shared" si="0"/>
        <v>53.524999999999999</v>
      </c>
      <c r="O7" s="8">
        <f t="shared" si="1"/>
        <v>2.4329545454545456</v>
      </c>
      <c r="P7" s="5">
        <v>33.5</v>
      </c>
      <c r="Q7" s="5">
        <v>33.799999999999997</v>
      </c>
      <c r="R7" s="5"/>
      <c r="S7" s="5"/>
      <c r="T7" s="5">
        <f t="shared" si="2"/>
        <v>33.65</v>
      </c>
      <c r="U7" s="6">
        <f t="shared" si="3"/>
        <v>1.5295454545454545</v>
      </c>
    </row>
    <row r="9" spans="1:21">
      <c r="B9" s="18"/>
      <c r="C9" s="10"/>
      <c r="D9" s="10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  <row r="14" spans="1:21">
      <c r="B14" s="11"/>
      <c r="C14" s="11"/>
      <c r="D14" s="12"/>
      <c r="E14" s="6"/>
    </row>
    <row r="15" spans="1:21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D722-306F-4B64-A89A-132A087F6E59}">
  <dimension ref="A1:W15"/>
  <sheetViews>
    <sheetView workbookViewId="0">
      <selection activeCell="B9" sqref="B9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  <col min="16" max="16" width="15.125" bestFit="1" customWidth="1"/>
    <col min="17" max="17" width="13.875" bestFit="1" customWidth="1"/>
    <col min="22" max="22" width="13.75" bestFit="1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3" t="s">
        <v>14</v>
      </c>
      <c r="Q1" s="3" t="s">
        <v>16</v>
      </c>
      <c r="R1" s="2" t="s">
        <v>11</v>
      </c>
      <c r="V1" s="2" t="s">
        <v>13</v>
      </c>
      <c r="W1" s="2" t="s">
        <v>15</v>
      </c>
    </row>
    <row r="2" spans="1:23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5">
        <v>75</v>
      </c>
      <c r="G2" s="5">
        <v>93.1</v>
      </c>
      <c r="H2" s="5">
        <v>0.48351229911538041</v>
      </c>
      <c r="I2" s="5">
        <v>0.24457054343076851</v>
      </c>
      <c r="J2" s="5">
        <v>0.19414616781745561</v>
      </c>
      <c r="K2" s="5">
        <v>0.21254331848455779</v>
      </c>
      <c r="L2" s="5">
        <v>74</v>
      </c>
      <c r="M2" s="5">
        <v>80.3</v>
      </c>
      <c r="N2" s="5">
        <v>75.3</v>
      </c>
      <c r="O2" s="5"/>
      <c r="P2" s="9">
        <f>AVERAGE(L2:O2)</f>
        <v>76.533333333333346</v>
      </c>
      <c r="Q2" s="6">
        <f>P2/22</f>
        <v>3.4787878787878794</v>
      </c>
      <c r="R2" s="5">
        <v>60</v>
      </c>
      <c r="S2" s="5"/>
      <c r="T2" s="5"/>
      <c r="U2" s="5"/>
      <c r="V2" s="5">
        <f>AVERAGE(R2:U2)</f>
        <v>60</v>
      </c>
      <c r="W2" s="6">
        <f>V2/22</f>
        <v>2.7272727272727271</v>
      </c>
    </row>
    <row r="3" spans="1:23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5">
        <v>59.999999999999993</v>
      </c>
      <c r="G3" s="5">
        <v>70.7</v>
      </c>
      <c r="H3" s="5">
        <v>0.45901662751675459</v>
      </c>
      <c r="I3" s="5">
        <v>0.48174712180640922</v>
      </c>
      <c r="J3" s="5">
        <v>0.23497228708045509</v>
      </c>
      <c r="K3" s="5">
        <v>0.19708812999417119</v>
      </c>
      <c r="L3" s="5">
        <v>59.5</v>
      </c>
      <c r="M3" s="5">
        <v>54.1</v>
      </c>
      <c r="N3" s="5">
        <v>58.1</v>
      </c>
      <c r="O3" s="5">
        <v>54.4</v>
      </c>
      <c r="P3" s="9">
        <f t="shared" ref="P3:P7" si="0">AVERAGE(L3:O3)</f>
        <v>56.524999999999999</v>
      </c>
      <c r="Q3" s="6">
        <f t="shared" ref="Q3:Q7" si="1">P3/22</f>
        <v>2.5693181818181818</v>
      </c>
      <c r="R3" s="5">
        <v>39</v>
      </c>
      <c r="S3" s="5">
        <v>49.1</v>
      </c>
      <c r="T3" s="5">
        <v>46.9</v>
      </c>
      <c r="U3" s="5"/>
      <c r="V3" s="5">
        <f t="shared" ref="V3:V7" si="2">AVERAGE(R3:U3)</f>
        <v>45</v>
      </c>
      <c r="W3" s="6">
        <f>V3/22</f>
        <v>2.0454545454545454</v>
      </c>
    </row>
    <row r="4" spans="1:23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5">
        <v>79.106605350869103</v>
      </c>
      <c r="G4" s="5">
        <v>51.825000000000003</v>
      </c>
      <c r="H4" s="5">
        <v>0.68703573164592169</v>
      </c>
      <c r="I4" s="5">
        <v>0.58224553925766087</v>
      </c>
      <c r="J4" s="5">
        <v>0.236626964574946</v>
      </c>
      <c r="K4" s="5">
        <v>0.26643957163933391</v>
      </c>
      <c r="L4" s="5">
        <v>48.4</v>
      </c>
      <c r="M4" s="5">
        <v>48.1</v>
      </c>
      <c r="N4" s="5">
        <v>51.1</v>
      </c>
      <c r="O4" s="5">
        <v>50.1</v>
      </c>
      <c r="P4" s="9">
        <f t="shared" si="0"/>
        <v>49.424999999999997</v>
      </c>
      <c r="Q4" s="6">
        <f t="shared" si="1"/>
        <v>2.2465909090909091</v>
      </c>
      <c r="R4" s="5">
        <v>28.8</v>
      </c>
      <c r="S4" s="5">
        <v>30</v>
      </c>
      <c r="T4" s="5"/>
      <c r="U4" s="5"/>
      <c r="V4" s="5">
        <f t="shared" si="2"/>
        <v>29.4</v>
      </c>
      <c r="W4" s="6">
        <f>V4/22</f>
        <v>1.3363636363636362</v>
      </c>
    </row>
    <row r="5" spans="1:23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5">
        <v>38.261966199709839</v>
      </c>
      <c r="G5" s="5">
        <v>114.9666666666667</v>
      </c>
      <c r="H5" s="5">
        <v>0.54380155735576474</v>
      </c>
      <c r="I5" s="5">
        <v>0.4443468229492506</v>
      </c>
      <c r="J5" s="5">
        <v>9.3664070917618622E-2</v>
      </c>
      <c r="K5" s="5">
        <v>8.2782325865386544E-2</v>
      </c>
      <c r="L5" s="5">
        <v>71.900000000000006</v>
      </c>
      <c r="M5" s="5">
        <v>71.5</v>
      </c>
      <c r="N5" s="5">
        <v>72</v>
      </c>
      <c r="O5" s="5"/>
      <c r="P5" s="9">
        <f t="shared" si="0"/>
        <v>71.8</v>
      </c>
      <c r="Q5" s="6">
        <f t="shared" si="1"/>
        <v>3.2636363636363637</v>
      </c>
      <c r="R5" s="5">
        <v>77.5</v>
      </c>
      <c r="S5" s="5"/>
      <c r="T5" s="5"/>
      <c r="U5" s="5"/>
      <c r="V5" s="5">
        <f t="shared" si="2"/>
        <v>77.5</v>
      </c>
      <c r="W5" s="6">
        <f t="shared" ref="W5:W7" si="3">V5/22</f>
        <v>3.5227272727272729</v>
      </c>
    </row>
    <row r="6" spans="1:23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5">
        <v>40.893394649130897</v>
      </c>
      <c r="G6" s="5">
        <v>84.724999999999994</v>
      </c>
      <c r="H6" s="5">
        <v>0.52749718423651881</v>
      </c>
      <c r="I6" s="5">
        <v>0.70249518324590676</v>
      </c>
      <c r="J6" s="5">
        <v>0.120838026071072</v>
      </c>
      <c r="K6" s="5">
        <v>0.1149392607649912</v>
      </c>
      <c r="L6" s="5">
        <v>56.6</v>
      </c>
      <c r="M6" s="5">
        <v>52.3</v>
      </c>
      <c r="N6" s="5">
        <v>51.4</v>
      </c>
      <c r="O6" s="5">
        <v>49.3</v>
      </c>
      <c r="P6" s="9">
        <f t="shared" si="0"/>
        <v>52.400000000000006</v>
      </c>
      <c r="Q6" s="6">
        <f t="shared" si="1"/>
        <v>2.3818181818181823</v>
      </c>
      <c r="R6" s="5">
        <v>34.200000000000003</v>
      </c>
      <c r="S6" s="5">
        <v>40.200000000000003</v>
      </c>
      <c r="T6" s="5">
        <v>32.9</v>
      </c>
      <c r="U6" s="5">
        <v>33.700000000000003</v>
      </c>
      <c r="V6" s="5">
        <f t="shared" si="2"/>
        <v>35.25</v>
      </c>
      <c r="W6" s="6">
        <f t="shared" si="3"/>
        <v>1.6022727272727273</v>
      </c>
    </row>
    <row r="7" spans="1:23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5">
        <v>74.999999999999986</v>
      </c>
      <c r="G7" s="5">
        <v>81.766666666666666</v>
      </c>
      <c r="H7" s="5">
        <v>0.79149877345561148</v>
      </c>
      <c r="I7" s="5">
        <v>0.40368699590879459</v>
      </c>
      <c r="J7" s="5">
        <v>0.1205569182487017</v>
      </c>
      <c r="K7" s="5">
        <v>0.13348512174602031</v>
      </c>
      <c r="L7" s="5">
        <v>51.6</v>
      </c>
      <c r="M7" s="5">
        <v>53.9</v>
      </c>
      <c r="N7" s="5">
        <v>53.2</v>
      </c>
      <c r="O7" s="5">
        <v>55.4</v>
      </c>
      <c r="P7" s="9">
        <f t="shared" si="0"/>
        <v>53.524999999999999</v>
      </c>
      <c r="Q7" s="6">
        <f t="shared" si="1"/>
        <v>2.4329545454545456</v>
      </c>
      <c r="R7" s="5">
        <v>33.5</v>
      </c>
      <c r="S7" s="5">
        <v>33.799999999999997</v>
      </c>
      <c r="T7" s="5"/>
      <c r="U7" s="5"/>
      <c r="V7" s="5">
        <f t="shared" si="2"/>
        <v>33.65</v>
      </c>
      <c r="W7" s="6">
        <f t="shared" si="3"/>
        <v>1.5295454545454545</v>
      </c>
    </row>
    <row r="9" spans="1:23">
      <c r="B9" s="18"/>
      <c r="C9" s="10"/>
      <c r="D9" s="10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  <row r="14" spans="1:23">
      <c r="B14" s="11"/>
      <c r="C14" s="11"/>
      <c r="D14" s="12"/>
      <c r="E14" s="6"/>
    </row>
    <row r="15" spans="1:23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Sheet1 (5)</vt:lpstr>
      <vt:lpstr>Sheet1 (4)</vt:lpstr>
      <vt:lpstr>Sheet1 (3)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2025-09-05T12:49:58Z</dcterms:created>
  <dcterms:modified xsi:type="dcterms:W3CDTF">2025-09-10T02:13:51Z</dcterms:modified>
</cp:coreProperties>
</file>