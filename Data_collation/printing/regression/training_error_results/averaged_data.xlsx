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cchih\Desktop\NTHU\MasterThesis\GA\SGM_GA\printing\regression\training_error_results\"/>
    </mc:Choice>
  </mc:AlternateContent>
  <xr:revisionPtr revIDLastSave="0" documentId="13_ncr:1_{4BC9DB2C-C9CA-4BB3-ABB5-1B28F481289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  <sheet name="Sheet1 (5)" sheetId="12" r:id="rId2"/>
    <sheet name="Sheet1 (4)" sheetId="11" r:id="rId3"/>
    <sheet name="Sheet1 (3)" sheetId="10" r:id="rId4"/>
    <sheet name="Sheet1 (2)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3" i="12" l="1"/>
  <c r="V13" i="12"/>
  <c r="W12" i="12"/>
  <c r="V12" i="12"/>
  <c r="W11" i="12"/>
  <c r="V11" i="12"/>
  <c r="P11" i="12"/>
  <c r="Q11" i="12" s="1"/>
  <c r="V10" i="12"/>
  <c r="V9" i="12"/>
  <c r="W9" i="12" s="1"/>
  <c r="P9" i="12"/>
  <c r="Q9" i="12" s="1"/>
  <c r="V8" i="12"/>
  <c r="W8" i="12" s="1"/>
  <c r="Q8" i="12"/>
  <c r="P8" i="12"/>
  <c r="Q7" i="12"/>
  <c r="P7" i="12"/>
  <c r="V6" i="12"/>
  <c r="W6" i="12" s="1"/>
  <c r="P6" i="12"/>
  <c r="Q6" i="12" s="1"/>
  <c r="V5" i="12"/>
  <c r="V4" i="12"/>
  <c r="V3" i="12"/>
  <c r="W3" i="12" s="1"/>
  <c r="P3" i="12"/>
  <c r="Q3" i="12" s="1"/>
  <c r="V2" i="12"/>
  <c r="W2" i="12" s="1"/>
  <c r="Q2" i="12"/>
  <c r="P2" i="12"/>
  <c r="U7" i="11"/>
  <c r="O7" i="11"/>
  <c r="U6" i="11"/>
  <c r="O6" i="11"/>
  <c r="T5" i="11"/>
  <c r="U5" i="11" s="1"/>
  <c r="O5" i="11"/>
  <c r="N5" i="11"/>
  <c r="T4" i="11"/>
  <c r="U4" i="11" s="1"/>
  <c r="N4" i="11"/>
  <c r="O4" i="11" s="1"/>
  <c r="T3" i="11"/>
  <c r="U3" i="11" s="1"/>
  <c r="N3" i="11"/>
  <c r="O3" i="11" s="1"/>
  <c r="T2" i="11"/>
  <c r="U2" i="11" s="1"/>
  <c r="N2" i="11"/>
  <c r="O2" i="11" s="1"/>
  <c r="T7" i="10"/>
  <c r="U7" i="10" s="1"/>
  <c r="N7" i="10"/>
  <c r="O7" i="10" s="1"/>
  <c r="T6" i="10"/>
  <c r="U6" i="10" s="1"/>
  <c r="N6" i="10"/>
  <c r="O6" i="10" s="1"/>
  <c r="T5" i="10"/>
  <c r="U5" i="10" s="1"/>
  <c r="N5" i="10"/>
  <c r="O5" i="10" s="1"/>
  <c r="T4" i="10"/>
  <c r="U4" i="10" s="1"/>
  <c r="N4" i="10"/>
  <c r="O4" i="10" s="1"/>
  <c r="T3" i="10"/>
  <c r="U3" i="10" s="1"/>
  <c r="N3" i="10"/>
  <c r="O3" i="10" s="1"/>
  <c r="T2" i="10"/>
  <c r="U2" i="10" s="1"/>
  <c r="N2" i="10"/>
  <c r="O2" i="10" s="1"/>
  <c r="V7" i="5"/>
  <c r="W7" i="5" s="1"/>
  <c r="P7" i="5"/>
  <c r="Q7" i="5" s="1"/>
  <c r="V6" i="5"/>
  <c r="W6" i="5" s="1"/>
  <c r="P6" i="5"/>
  <c r="Q6" i="5" s="1"/>
  <c r="V5" i="5"/>
  <c r="W5" i="5" s="1"/>
  <c r="P5" i="5"/>
  <c r="Q5" i="5" s="1"/>
  <c r="V4" i="5"/>
  <c r="W4" i="5" s="1"/>
  <c r="P4" i="5"/>
  <c r="Q4" i="5" s="1"/>
  <c r="V3" i="5"/>
  <c r="W3" i="5" s="1"/>
  <c r="P3" i="5"/>
  <c r="Q3" i="5" s="1"/>
  <c r="V2" i="5"/>
  <c r="W2" i="5" s="1"/>
  <c r="P2" i="5"/>
  <c r="Q2" i="5" s="1"/>
  <c r="V13" i="1"/>
  <c r="W13" i="1" s="1"/>
  <c r="W12" i="1"/>
  <c r="V12" i="1"/>
  <c r="W6" i="1"/>
  <c r="W3" i="1"/>
  <c r="W2" i="1"/>
  <c r="W11" i="1"/>
  <c r="W9" i="1"/>
  <c r="W8" i="1"/>
  <c r="Q3" i="1"/>
  <c r="Q6" i="1"/>
  <c r="Q7" i="1"/>
  <c r="Q8" i="1"/>
  <c r="Q9" i="1"/>
  <c r="Q11" i="1"/>
  <c r="Q2" i="1"/>
  <c r="V3" i="1"/>
  <c r="V4" i="1"/>
  <c r="V5" i="1"/>
  <c r="V6" i="1"/>
  <c r="V8" i="1"/>
  <c r="V9" i="1"/>
  <c r="V10" i="1"/>
  <c r="V11" i="1"/>
  <c r="V2" i="1"/>
  <c r="P3" i="1"/>
  <c r="P6" i="1"/>
  <c r="P7" i="1"/>
  <c r="P8" i="1"/>
  <c r="P9" i="1"/>
  <c r="P11" i="1"/>
  <c r="P2" i="1"/>
</calcChain>
</file>

<file path=xl/sharedStrings.xml><?xml version="1.0" encoding="utf-8"?>
<sst xmlns="http://schemas.openxmlformats.org/spreadsheetml/2006/main" count="75" uniqueCount="17">
  <si>
    <t>Design_s1(mm)</t>
  </si>
  <si>
    <t>Design_s2(mm)</t>
  </si>
  <si>
    <t>Design_s3(mm)</t>
  </si>
  <si>
    <t>Design_a3(deg)</t>
  </si>
  <si>
    <t>Design_a1(deg)</t>
  </si>
  <si>
    <t>Design_a2(deg)</t>
  </si>
  <si>
    <t>DIP_a3(deg)</t>
  </si>
  <si>
    <t>DIP_s2(mm)</t>
  </si>
  <si>
    <t>DIP_s3(mm)</t>
  </si>
  <si>
    <t>delta_s2</t>
  </si>
  <si>
    <t>delta_s3</t>
  </si>
  <si>
    <t>Rvertex</t>
    <phoneticPr fontId="2" type="noConversion"/>
  </si>
  <si>
    <t>Rvally</t>
    <phoneticPr fontId="2" type="noConversion"/>
  </si>
  <si>
    <t>Rvertex_avg</t>
    <phoneticPr fontId="2" type="noConversion"/>
  </si>
  <si>
    <t>Rvally_avg</t>
    <phoneticPr fontId="2" type="noConversion"/>
  </si>
  <si>
    <t>Rvertex_px</t>
    <phoneticPr fontId="2" type="noConversion"/>
  </si>
  <si>
    <t>Rvally_px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</si>
</sst>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3">
    <font>
      <sz val="11"/>
      <color theme="1"/>
      <name val="新細明體"/>
      <family val="2"/>
      <scheme val="minor"/>
    </font>
    <font>
      <b/>
      <sz val="11"/>
      <name val="新細明體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0" fillId="0" borderId="3" xfId="0" applyBorder="1"/>
    <xf numFmtId="2" fontId="0" fillId="0" borderId="0" xfId="0" applyNumberFormat="1"/>
    <xf numFmtId="176" fontId="0" fillId="0" borderId="0" xfId="0" applyNumberFormat="1"/>
    <xf numFmtId="1" fontId="0" fillId="0" borderId="0" xfId="0" applyNumberFormat="1"/>
    <xf numFmtId="176" fontId="0" fillId="0" borderId="3" xfId="0" applyNumberFormat="1" applyBorder="1"/>
    <xf numFmtId="2" fontId="0" fillId="0" borderId="3" xfId="0" applyNumberFormat="1" applyBorder="1"/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1" fillId="0" borderId="4" xfId="0" applyFont="1" applyBorder="1" applyAlignment="1">
      <alignment horizontal="center" vertical="top"/>
    </xf>
    <xf numFmtId="0" fontId="1" fillId="0" borderId="6" xfId="0" applyFont="1" applyBorder="1" applyAlignment="1">
      <alignment horizontal="center" vertical="top"/>
    </xf>
    <xf numFmtId="0" fontId="0" fillId="0" borderId="7" xfId="0" applyBorder="1"/>
    <xf numFmtId="0" fontId="1" fillId="0" borderId="7" xfId="0" applyFont="1" applyBorder="1" applyAlignment="1">
      <alignment horizontal="center" vertical="top"/>
    </xf>
    <xf numFmtId="0" fontId="1" fillId="0" borderId="5" xfId="0" applyFont="1" applyBorder="1" applyAlignment="1">
      <alignment horizontal="center" vertical="top"/>
    </xf>
    <xf numFmtId="0" fontId="1" fillId="0" borderId="0" xfId="0" applyFont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3"/>
  <sheetViews>
    <sheetView tabSelected="1" topLeftCell="B1" workbookViewId="0">
      <selection activeCell="F17" sqref="F17"/>
    </sheetView>
  </sheetViews>
  <sheetFormatPr defaultRowHeight="15"/>
  <cols>
    <col min="1" max="6" width="18.75" bestFit="1" customWidth="1"/>
    <col min="7" max="9" width="15.5" bestFit="1" customWidth="1"/>
    <col min="10" max="11" width="14.25" bestFit="1" customWidth="1"/>
    <col min="12" max="12" width="9.875" bestFit="1" customWidth="1"/>
    <col min="13" max="13" width="8.625" bestFit="1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12</v>
      </c>
      <c r="P1" s="2" t="s">
        <v>11</v>
      </c>
      <c r="Q1" s="2" t="s">
        <v>11</v>
      </c>
    </row>
    <row r="2" spans="1:23">
      <c r="A2">
        <v>0.6</v>
      </c>
      <c r="B2">
        <v>0.6</v>
      </c>
      <c r="C2">
        <v>0.31058285412302489</v>
      </c>
      <c r="D2">
        <v>75</v>
      </c>
      <c r="E2">
        <v>30</v>
      </c>
      <c r="F2">
        <v>75</v>
      </c>
      <c r="G2">
        <v>93.1</v>
      </c>
      <c r="H2">
        <v>0.48351229911538041</v>
      </c>
      <c r="I2">
        <v>0.24457054343076851</v>
      </c>
      <c r="J2">
        <v>0.19414616781745561</v>
      </c>
      <c r="K2">
        <v>0.21254331848455779</v>
      </c>
      <c r="L2">
        <v>74</v>
      </c>
      <c r="M2">
        <v>80.3</v>
      </c>
      <c r="N2">
        <v>75.3</v>
      </c>
      <c r="P2" s="4">
        <f>AVERAGE(L2:O2)</f>
        <v>76.533333333333346</v>
      </c>
      <c r="Q2" s="6">
        <f>P2/22</f>
        <v>3.4787878787878794</v>
      </c>
      <c r="R2">
        <v>60</v>
      </c>
      <c r="V2">
        <f>AVERAGE(R2:U2)</f>
        <v>60</v>
      </c>
      <c r="W2" s="6">
        <f>V2/22</f>
        <v>2.7272727272727271</v>
      </c>
    </row>
    <row r="3" spans="1:23">
      <c r="A3">
        <v>0.6</v>
      </c>
      <c r="B3">
        <v>0.6</v>
      </c>
      <c r="C3">
        <v>0.6</v>
      </c>
      <c r="D3">
        <v>60.000000000000007</v>
      </c>
      <c r="E3">
        <v>60</v>
      </c>
      <c r="F3">
        <v>59.999999999999993</v>
      </c>
      <c r="G3">
        <v>70.7</v>
      </c>
      <c r="H3">
        <v>0.45901662751675459</v>
      </c>
      <c r="I3">
        <v>0.48174712180640922</v>
      </c>
      <c r="J3">
        <v>0.23497228708045509</v>
      </c>
      <c r="K3">
        <v>0.19708812999417119</v>
      </c>
      <c r="L3">
        <v>59.5</v>
      </c>
      <c r="M3">
        <v>54.1</v>
      </c>
      <c r="N3">
        <v>58.1</v>
      </c>
      <c r="O3">
        <v>54.4</v>
      </c>
      <c r="P3" s="4">
        <f t="shared" ref="P3:P11" si="0">AVERAGE(L3:O3)</f>
        <v>56.524999999999999</v>
      </c>
      <c r="Q3" s="6">
        <f t="shared" ref="Q3:Q11" si="1">P3/22</f>
        <v>2.5693181818181818</v>
      </c>
      <c r="R3">
        <v>39</v>
      </c>
      <c r="S3">
        <v>49.1</v>
      </c>
      <c r="T3">
        <v>46.9</v>
      </c>
      <c r="V3">
        <f t="shared" ref="V3:V13" si="2">AVERAGE(R3:U3)</f>
        <v>45</v>
      </c>
      <c r="W3" s="6">
        <f>V3/22</f>
        <v>2.0454545454545454</v>
      </c>
    </row>
    <row r="4" spans="1:23">
      <c r="A4">
        <v>0.6</v>
      </c>
      <c r="B4">
        <v>0.6</v>
      </c>
      <c r="C4">
        <v>0.84852813742385702</v>
      </c>
      <c r="D4">
        <v>45.000000000000007</v>
      </c>
      <c r="E4">
        <v>90</v>
      </c>
      <c r="F4">
        <v>44.999999999999993</v>
      </c>
      <c r="G4">
        <v>54.766666666666673</v>
      </c>
      <c r="H4">
        <v>0.43973557039816641</v>
      </c>
      <c r="I4">
        <v>0.66866016035259024</v>
      </c>
      <c r="J4">
        <v>0.26710738222454372</v>
      </c>
      <c r="K4">
        <v>0.2119764435925153</v>
      </c>
      <c r="P4" s="4"/>
      <c r="Q4" s="6"/>
      <c r="R4">
        <v>49.1</v>
      </c>
      <c r="V4">
        <f t="shared" si="2"/>
        <v>49.1</v>
      </c>
      <c r="W4" s="6"/>
    </row>
    <row r="5" spans="1:23">
      <c r="A5">
        <v>0.6</v>
      </c>
      <c r="B5">
        <v>0.9</v>
      </c>
      <c r="C5">
        <v>0.48445078585219159</v>
      </c>
      <c r="D5">
        <v>38.261966199709804</v>
      </c>
      <c r="E5">
        <v>30</v>
      </c>
      <c r="F5">
        <v>111.7380338002902</v>
      </c>
      <c r="G5">
        <v>60.633333333333333</v>
      </c>
      <c r="H5">
        <v>0.62929802668878232</v>
      </c>
      <c r="I5">
        <v>0.26950619700589229</v>
      </c>
      <c r="J5">
        <v>0.30077997001159751</v>
      </c>
      <c r="K5">
        <v>0.44368714981957491</v>
      </c>
      <c r="P5" s="4"/>
      <c r="Q5" s="6"/>
      <c r="R5">
        <v>35.5</v>
      </c>
      <c r="S5">
        <v>33.299999999999997</v>
      </c>
      <c r="T5">
        <v>39.200000000000003</v>
      </c>
      <c r="U5">
        <v>38</v>
      </c>
      <c r="V5">
        <f t="shared" si="2"/>
        <v>36.5</v>
      </c>
      <c r="W5" s="6"/>
    </row>
    <row r="6" spans="1:23">
      <c r="A6">
        <v>0.6</v>
      </c>
      <c r="B6">
        <v>0.9</v>
      </c>
      <c r="C6">
        <v>0.79372539331937708</v>
      </c>
      <c r="D6">
        <v>40.893394649130897</v>
      </c>
      <c r="E6">
        <v>60</v>
      </c>
      <c r="F6">
        <v>79.106605350869103</v>
      </c>
      <c r="G6">
        <v>51.825000000000003</v>
      </c>
      <c r="H6">
        <v>0.68703573164592169</v>
      </c>
      <c r="I6">
        <v>0.58224553925766087</v>
      </c>
      <c r="J6">
        <v>0.236626964574946</v>
      </c>
      <c r="K6">
        <v>0.26643957163933391</v>
      </c>
      <c r="L6">
        <v>48.4</v>
      </c>
      <c r="M6">
        <v>48.1</v>
      </c>
      <c r="N6">
        <v>51.1</v>
      </c>
      <c r="O6">
        <v>50.1</v>
      </c>
      <c r="P6" s="4">
        <f t="shared" si="0"/>
        <v>49.424999999999997</v>
      </c>
      <c r="Q6" s="6">
        <f t="shared" si="1"/>
        <v>2.2465909090909091</v>
      </c>
      <c r="R6">
        <v>28.8</v>
      </c>
      <c r="S6">
        <v>30</v>
      </c>
      <c r="V6">
        <f t="shared" si="2"/>
        <v>29.4</v>
      </c>
      <c r="W6" s="6">
        <f>V6/22</f>
        <v>1.3363636363636362</v>
      </c>
    </row>
    <row r="7" spans="1:23">
      <c r="A7">
        <v>0.6</v>
      </c>
      <c r="B7">
        <v>0.9</v>
      </c>
      <c r="C7">
        <v>1.0816653826391971</v>
      </c>
      <c r="D7">
        <v>33.690067525979792</v>
      </c>
      <c r="E7">
        <v>90</v>
      </c>
      <c r="F7">
        <v>56.309932474020208</v>
      </c>
      <c r="G7">
        <v>42.3</v>
      </c>
      <c r="H7">
        <v>0.64949988963032212</v>
      </c>
      <c r="I7">
        <v>0.83851875369502671</v>
      </c>
      <c r="J7">
        <v>0.27833345565704948</v>
      </c>
      <c r="K7">
        <v>0.22478913777023921</v>
      </c>
      <c r="L7">
        <v>59.2</v>
      </c>
      <c r="M7">
        <v>59.7</v>
      </c>
      <c r="N7">
        <v>56.8</v>
      </c>
      <c r="P7" s="4">
        <f t="shared" si="0"/>
        <v>58.566666666666663</v>
      </c>
      <c r="Q7" s="6">
        <f t="shared" si="1"/>
        <v>2.6621212121212121</v>
      </c>
      <c r="W7" s="6"/>
    </row>
    <row r="8" spans="1:23">
      <c r="A8">
        <v>0.9</v>
      </c>
      <c r="B8">
        <v>0.6</v>
      </c>
      <c r="C8">
        <v>0.48445078585219159</v>
      </c>
      <c r="D8">
        <v>111.7380338002902</v>
      </c>
      <c r="E8">
        <v>30</v>
      </c>
      <c r="F8">
        <v>38.261966199709839</v>
      </c>
      <c r="G8">
        <v>114.9666666666667</v>
      </c>
      <c r="H8">
        <v>0.54380155735576474</v>
      </c>
      <c r="I8">
        <v>0.4443468229492506</v>
      </c>
      <c r="J8">
        <v>9.3664070917618622E-2</v>
      </c>
      <c r="K8">
        <v>8.2782325865386544E-2</v>
      </c>
      <c r="L8">
        <v>71.900000000000006</v>
      </c>
      <c r="M8">
        <v>71.5</v>
      </c>
      <c r="N8">
        <v>72</v>
      </c>
      <c r="P8" s="4">
        <f t="shared" si="0"/>
        <v>71.8</v>
      </c>
      <c r="Q8" s="6">
        <f t="shared" si="1"/>
        <v>3.2636363636363637</v>
      </c>
      <c r="R8">
        <v>77.5</v>
      </c>
      <c r="V8">
        <f t="shared" si="2"/>
        <v>77.5</v>
      </c>
      <c r="W8" s="6">
        <f t="shared" ref="W8:W12" si="3">V8/22</f>
        <v>3.5227272727272729</v>
      </c>
    </row>
    <row r="9" spans="1:23">
      <c r="A9">
        <v>0.9</v>
      </c>
      <c r="B9">
        <v>0.6</v>
      </c>
      <c r="C9">
        <v>0.79372539331937708</v>
      </c>
      <c r="D9">
        <v>79.106605350869103</v>
      </c>
      <c r="E9">
        <v>60</v>
      </c>
      <c r="F9">
        <v>40.893394649130897</v>
      </c>
      <c r="G9">
        <v>84.724999999999994</v>
      </c>
      <c r="H9">
        <v>0.52749718423651881</v>
      </c>
      <c r="I9">
        <v>0.70249518324590676</v>
      </c>
      <c r="J9">
        <v>0.120838026071072</v>
      </c>
      <c r="K9">
        <v>0.1149392607649912</v>
      </c>
      <c r="L9">
        <v>56.6</v>
      </c>
      <c r="M9">
        <v>52.3</v>
      </c>
      <c r="N9">
        <v>51.4</v>
      </c>
      <c r="O9">
        <v>49.3</v>
      </c>
      <c r="P9" s="4">
        <f t="shared" si="0"/>
        <v>52.400000000000006</v>
      </c>
      <c r="Q9" s="6">
        <f t="shared" si="1"/>
        <v>2.3818181818181823</v>
      </c>
      <c r="R9">
        <v>34.200000000000003</v>
      </c>
      <c r="S9">
        <v>40.200000000000003</v>
      </c>
      <c r="T9">
        <v>32.9</v>
      </c>
      <c r="U9">
        <v>33.700000000000003</v>
      </c>
      <c r="V9">
        <f t="shared" si="2"/>
        <v>35.25</v>
      </c>
      <c r="W9" s="6">
        <f t="shared" si="3"/>
        <v>1.6022727272727273</v>
      </c>
    </row>
    <row r="10" spans="1:23">
      <c r="A10">
        <v>0.9</v>
      </c>
      <c r="B10">
        <v>0.6</v>
      </c>
      <c r="C10">
        <v>1.0816653826391971</v>
      </c>
      <c r="D10">
        <v>56.309932474020208</v>
      </c>
      <c r="E10">
        <v>90</v>
      </c>
      <c r="F10">
        <v>33.690067525979792</v>
      </c>
      <c r="G10">
        <v>62.774999999999999</v>
      </c>
      <c r="H10">
        <v>0.49241198817111898</v>
      </c>
      <c r="I10">
        <v>0.94320830392130994</v>
      </c>
      <c r="J10">
        <v>0.1793133527492794</v>
      </c>
      <c r="K10">
        <v>0.1280036144376335</v>
      </c>
      <c r="P10" s="4"/>
      <c r="Q10" s="6"/>
      <c r="R10">
        <v>32.4</v>
      </c>
      <c r="S10">
        <v>35.700000000000003</v>
      </c>
      <c r="V10">
        <f t="shared" si="2"/>
        <v>34.049999999999997</v>
      </c>
      <c r="W10" s="6"/>
    </row>
    <row r="11" spans="1:23">
      <c r="A11">
        <v>0.9</v>
      </c>
      <c r="B11">
        <v>0.9</v>
      </c>
      <c r="C11">
        <v>0.46587428118453739</v>
      </c>
      <c r="D11">
        <v>75.000000000000014</v>
      </c>
      <c r="E11">
        <v>30</v>
      </c>
      <c r="F11">
        <v>74.999999999999986</v>
      </c>
      <c r="G11">
        <v>81.766666666666666</v>
      </c>
      <c r="H11">
        <v>0.79149877345561148</v>
      </c>
      <c r="I11">
        <v>0.40368699590879459</v>
      </c>
      <c r="J11">
        <v>0.1205569182487017</v>
      </c>
      <c r="K11">
        <v>0.13348512174602031</v>
      </c>
      <c r="L11">
        <v>51.6</v>
      </c>
      <c r="M11">
        <v>53.9</v>
      </c>
      <c r="N11">
        <v>53.2</v>
      </c>
      <c r="O11">
        <v>55.4</v>
      </c>
      <c r="P11" s="4">
        <f t="shared" si="0"/>
        <v>53.524999999999999</v>
      </c>
      <c r="Q11" s="6">
        <f t="shared" si="1"/>
        <v>2.4329545454545456</v>
      </c>
      <c r="R11">
        <v>33.5</v>
      </c>
      <c r="S11">
        <v>33.799999999999997</v>
      </c>
      <c r="V11">
        <f t="shared" si="2"/>
        <v>33.65</v>
      </c>
      <c r="W11" s="6">
        <f t="shared" si="3"/>
        <v>1.5295454545454545</v>
      </c>
    </row>
    <row r="12" spans="1:23">
      <c r="A12">
        <v>0.9</v>
      </c>
      <c r="B12">
        <v>0.9</v>
      </c>
      <c r="C12">
        <v>0.89999999999999991</v>
      </c>
      <c r="D12">
        <v>59.999999999999993</v>
      </c>
      <c r="E12">
        <v>60</v>
      </c>
      <c r="F12">
        <v>60.000000000000007</v>
      </c>
      <c r="G12">
        <v>65</v>
      </c>
      <c r="H12">
        <v>0.77814030586794569</v>
      </c>
      <c r="I12">
        <v>0.77885827172591937</v>
      </c>
      <c r="J12">
        <v>0.13539965999628301</v>
      </c>
      <c r="K12">
        <v>0.13460192015497621</v>
      </c>
      <c r="L12">
        <v>47.3</v>
      </c>
      <c r="M12">
        <v>47.7</v>
      </c>
      <c r="N12">
        <v>46</v>
      </c>
      <c r="O12">
        <v>47.3</v>
      </c>
      <c r="P12" s="4"/>
      <c r="Q12" s="7"/>
      <c r="R12">
        <v>33.299999999999997</v>
      </c>
      <c r="S12">
        <v>29.2</v>
      </c>
      <c r="T12">
        <v>30</v>
      </c>
      <c r="U12">
        <v>32</v>
      </c>
      <c r="V12">
        <f t="shared" si="2"/>
        <v>31.125</v>
      </c>
      <c r="W12" s="6">
        <f t="shared" si="3"/>
        <v>1.4147727272727273</v>
      </c>
    </row>
    <row r="13" spans="1:23">
      <c r="A13">
        <v>0.9</v>
      </c>
      <c r="B13">
        <v>0.9</v>
      </c>
      <c r="C13">
        <v>1.272792206135785</v>
      </c>
      <c r="D13">
        <v>44.999999999999979</v>
      </c>
      <c r="E13">
        <v>90</v>
      </c>
      <c r="F13">
        <v>45.000000000000021</v>
      </c>
      <c r="G13">
        <v>50.05</v>
      </c>
      <c r="H13">
        <v>0.74563354580372954</v>
      </c>
      <c r="I13">
        <v>1.1035941042905111</v>
      </c>
      <c r="J13">
        <v>0.17151828224972471</v>
      </c>
      <c r="K13">
        <v>0.13293458342743</v>
      </c>
      <c r="P13" s="4"/>
      <c r="Q13" s="7"/>
      <c r="R13">
        <v>36.200000000000003</v>
      </c>
      <c r="V13">
        <f t="shared" si="2"/>
        <v>36.200000000000003</v>
      </c>
      <c r="W13" s="6">
        <f>V13/22</f>
        <v>1.6454545454545455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D5965-FE3B-42AE-9BF6-3C52C5374D19}">
  <dimension ref="A1:W13"/>
  <sheetViews>
    <sheetView topLeftCell="B1" workbookViewId="0">
      <selection activeCell="Q1" sqref="Q1"/>
    </sheetView>
  </sheetViews>
  <sheetFormatPr defaultRowHeight="15"/>
  <cols>
    <col min="1" max="6" width="18.75" bestFit="1" customWidth="1"/>
    <col min="7" max="9" width="15.5" bestFit="1" customWidth="1"/>
    <col min="10" max="11" width="14.25" bestFit="1" customWidth="1"/>
    <col min="12" max="12" width="9.875" bestFit="1" customWidth="1"/>
    <col min="13" max="13" width="8.625" bestFit="1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12</v>
      </c>
      <c r="P1" s="2" t="s">
        <v>11</v>
      </c>
      <c r="Q1" s="2" t="s">
        <v>11</v>
      </c>
    </row>
    <row r="2" spans="1:23">
      <c r="A2">
        <v>0.6</v>
      </c>
      <c r="B2">
        <v>0.6</v>
      </c>
      <c r="C2">
        <v>0.31058285412302489</v>
      </c>
      <c r="D2">
        <v>75</v>
      </c>
      <c r="E2">
        <v>30</v>
      </c>
      <c r="F2">
        <v>75</v>
      </c>
      <c r="G2">
        <v>93.1</v>
      </c>
      <c r="H2">
        <v>0.48351229911538041</v>
      </c>
      <c r="I2">
        <v>0.24457054343076851</v>
      </c>
      <c r="J2">
        <v>0.19414616781745561</v>
      </c>
      <c r="K2">
        <v>0.21254331848455779</v>
      </c>
      <c r="L2">
        <v>74</v>
      </c>
      <c r="M2">
        <v>80.3</v>
      </c>
      <c r="N2">
        <v>75.3</v>
      </c>
      <c r="P2" s="4">
        <f>AVERAGE(L2:O2)</f>
        <v>76.533333333333346</v>
      </c>
      <c r="Q2" s="6">
        <f>P2/22</f>
        <v>3.4787878787878794</v>
      </c>
      <c r="R2">
        <v>60</v>
      </c>
      <c r="V2">
        <f>AVERAGE(R2:U2)</f>
        <v>60</v>
      </c>
      <c r="W2" s="6">
        <f>V2/22</f>
        <v>2.7272727272727271</v>
      </c>
    </row>
    <row r="3" spans="1:23">
      <c r="A3">
        <v>0.6</v>
      </c>
      <c r="B3">
        <v>0.6</v>
      </c>
      <c r="C3">
        <v>0.6</v>
      </c>
      <c r="D3">
        <v>60.000000000000007</v>
      </c>
      <c r="E3">
        <v>60</v>
      </c>
      <c r="F3">
        <v>59.999999999999993</v>
      </c>
      <c r="G3">
        <v>70.7</v>
      </c>
      <c r="H3">
        <v>0.45901662751675459</v>
      </c>
      <c r="I3">
        <v>0.48174712180640922</v>
      </c>
      <c r="J3">
        <v>0.23497228708045509</v>
      </c>
      <c r="K3">
        <v>0.19708812999417119</v>
      </c>
      <c r="L3">
        <v>59.5</v>
      </c>
      <c r="M3">
        <v>54.1</v>
      </c>
      <c r="N3">
        <v>58.1</v>
      </c>
      <c r="O3">
        <v>54.4</v>
      </c>
      <c r="P3" s="4">
        <f t="shared" ref="P3:P11" si="0">AVERAGE(L3:O3)</f>
        <v>56.524999999999999</v>
      </c>
      <c r="Q3" s="6">
        <f t="shared" ref="Q3:Q11" si="1">P3/22</f>
        <v>2.5693181818181818</v>
      </c>
      <c r="R3">
        <v>39</v>
      </c>
      <c r="S3">
        <v>49.1</v>
      </c>
      <c r="T3">
        <v>46.9</v>
      </c>
      <c r="V3">
        <f t="shared" ref="V3:V13" si="2">AVERAGE(R3:U3)</f>
        <v>45</v>
      </c>
      <c r="W3" s="6">
        <f>V3/22</f>
        <v>2.0454545454545454</v>
      </c>
    </row>
    <row r="4" spans="1:23">
      <c r="A4">
        <v>0.6</v>
      </c>
      <c r="B4">
        <v>0.6</v>
      </c>
      <c r="C4">
        <v>0.84852813742385702</v>
      </c>
      <c r="D4">
        <v>45.000000000000007</v>
      </c>
      <c r="E4">
        <v>90</v>
      </c>
      <c r="F4">
        <v>44.999999999999993</v>
      </c>
      <c r="G4">
        <v>54.766666666666673</v>
      </c>
      <c r="H4">
        <v>0.43973557039816641</v>
      </c>
      <c r="I4">
        <v>0.66866016035259024</v>
      </c>
      <c r="J4">
        <v>0.26710738222454372</v>
      </c>
      <c r="K4">
        <v>0.2119764435925153</v>
      </c>
      <c r="P4" s="4"/>
      <c r="Q4" s="6"/>
      <c r="R4">
        <v>49.1</v>
      </c>
      <c r="V4">
        <f t="shared" si="2"/>
        <v>49.1</v>
      </c>
      <c r="W4" s="6"/>
    </row>
    <row r="5" spans="1:23">
      <c r="A5">
        <v>0.6</v>
      </c>
      <c r="B5">
        <v>0.9</v>
      </c>
      <c r="C5">
        <v>0.48445078585219159</v>
      </c>
      <c r="D5">
        <v>38.261966199709804</v>
      </c>
      <c r="E5">
        <v>30</v>
      </c>
      <c r="F5">
        <v>111.7380338002902</v>
      </c>
      <c r="G5">
        <v>60.633333333333333</v>
      </c>
      <c r="H5">
        <v>0.62929802668878232</v>
      </c>
      <c r="I5">
        <v>0.26950619700589229</v>
      </c>
      <c r="J5">
        <v>0.30077997001159751</v>
      </c>
      <c r="K5">
        <v>0.44368714981957491</v>
      </c>
      <c r="P5" s="4"/>
      <c r="Q5" s="6"/>
      <c r="R5">
        <v>35.5</v>
      </c>
      <c r="S5">
        <v>33.299999999999997</v>
      </c>
      <c r="T5">
        <v>39.200000000000003</v>
      </c>
      <c r="U5">
        <v>38</v>
      </c>
      <c r="V5">
        <f t="shared" si="2"/>
        <v>36.5</v>
      </c>
      <c r="W5" s="6"/>
    </row>
    <row r="6" spans="1:23">
      <c r="A6">
        <v>0.6</v>
      </c>
      <c r="B6">
        <v>0.9</v>
      </c>
      <c r="C6">
        <v>0.79372539331937708</v>
      </c>
      <c r="D6">
        <v>40.893394649130897</v>
      </c>
      <c r="E6">
        <v>60</v>
      </c>
      <c r="F6">
        <v>79.106605350869103</v>
      </c>
      <c r="G6">
        <v>51.825000000000003</v>
      </c>
      <c r="H6">
        <v>0.68703573164592169</v>
      </c>
      <c r="I6">
        <v>0.58224553925766087</v>
      </c>
      <c r="J6">
        <v>0.236626964574946</v>
      </c>
      <c r="K6">
        <v>0.26643957163933391</v>
      </c>
      <c r="L6">
        <v>48.4</v>
      </c>
      <c r="M6">
        <v>48.1</v>
      </c>
      <c r="N6">
        <v>51.1</v>
      </c>
      <c r="O6">
        <v>50.1</v>
      </c>
      <c r="P6" s="4">
        <f t="shared" si="0"/>
        <v>49.424999999999997</v>
      </c>
      <c r="Q6" s="6">
        <f t="shared" si="1"/>
        <v>2.2465909090909091</v>
      </c>
      <c r="R6">
        <v>28.8</v>
      </c>
      <c r="S6">
        <v>30</v>
      </c>
      <c r="V6">
        <f t="shared" si="2"/>
        <v>29.4</v>
      </c>
      <c r="W6" s="6">
        <f>V6/22</f>
        <v>1.3363636363636362</v>
      </c>
    </row>
    <row r="7" spans="1:23">
      <c r="A7">
        <v>0.6</v>
      </c>
      <c r="B7">
        <v>0.9</v>
      </c>
      <c r="C7">
        <v>1.0816653826391971</v>
      </c>
      <c r="D7">
        <v>33.690067525979792</v>
      </c>
      <c r="E7">
        <v>90</v>
      </c>
      <c r="F7">
        <v>56.309932474020208</v>
      </c>
      <c r="G7">
        <v>42.3</v>
      </c>
      <c r="H7">
        <v>0.64949988963032212</v>
      </c>
      <c r="I7">
        <v>0.83851875369502671</v>
      </c>
      <c r="J7">
        <v>0.27833345565704948</v>
      </c>
      <c r="K7">
        <v>0.22478913777023921</v>
      </c>
      <c r="L7">
        <v>59.2</v>
      </c>
      <c r="M7">
        <v>59.7</v>
      </c>
      <c r="N7">
        <v>56.8</v>
      </c>
      <c r="P7" s="4">
        <f t="shared" si="0"/>
        <v>58.566666666666663</v>
      </c>
      <c r="Q7" s="6">
        <f t="shared" si="1"/>
        <v>2.6621212121212121</v>
      </c>
      <c r="W7" s="6"/>
    </row>
    <row r="8" spans="1:23">
      <c r="A8">
        <v>0.9</v>
      </c>
      <c r="B8">
        <v>0.6</v>
      </c>
      <c r="C8">
        <v>0.48445078585219159</v>
      </c>
      <c r="D8">
        <v>111.7380338002902</v>
      </c>
      <c r="E8">
        <v>30</v>
      </c>
      <c r="F8">
        <v>38.261966199709839</v>
      </c>
      <c r="G8">
        <v>114.9666666666667</v>
      </c>
      <c r="H8">
        <v>0.54380155735576474</v>
      </c>
      <c r="I8">
        <v>0.4443468229492506</v>
      </c>
      <c r="J8">
        <v>9.3664070917618622E-2</v>
      </c>
      <c r="K8">
        <v>8.2782325865386544E-2</v>
      </c>
      <c r="L8">
        <v>71.900000000000006</v>
      </c>
      <c r="M8">
        <v>71.5</v>
      </c>
      <c r="N8">
        <v>72</v>
      </c>
      <c r="P8" s="4">
        <f t="shared" si="0"/>
        <v>71.8</v>
      </c>
      <c r="Q8" s="6">
        <f t="shared" si="1"/>
        <v>3.2636363636363637</v>
      </c>
      <c r="R8">
        <v>77.5</v>
      </c>
      <c r="V8">
        <f t="shared" si="2"/>
        <v>77.5</v>
      </c>
      <c r="W8" s="6">
        <f t="shared" ref="W8:W12" si="3">V8/22</f>
        <v>3.5227272727272729</v>
      </c>
    </row>
    <row r="9" spans="1:23">
      <c r="A9">
        <v>0.9</v>
      </c>
      <c r="B9">
        <v>0.6</v>
      </c>
      <c r="C9">
        <v>0.79372539331937708</v>
      </c>
      <c r="D9">
        <v>79.106605350869103</v>
      </c>
      <c r="E9">
        <v>60</v>
      </c>
      <c r="F9">
        <v>40.893394649130897</v>
      </c>
      <c r="G9">
        <v>84.724999999999994</v>
      </c>
      <c r="H9">
        <v>0.52749718423651881</v>
      </c>
      <c r="I9">
        <v>0.70249518324590676</v>
      </c>
      <c r="J9">
        <v>0.120838026071072</v>
      </c>
      <c r="K9">
        <v>0.1149392607649912</v>
      </c>
      <c r="L9">
        <v>56.6</v>
      </c>
      <c r="M9">
        <v>52.3</v>
      </c>
      <c r="N9">
        <v>51.4</v>
      </c>
      <c r="O9">
        <v>49.3</v>
      </c>
      <c r="P9" s="4">
        <f t="shared" si="0"/>
        <v>52.400000000000006</v>
      </c>
      <c r="Q9" s="6">
        <f t="shared" si="1"/>
        <v>2.3818181818181823</v>
      </c>
      <c r="R9">
        <v>34.200000000000003</v>
      </c>
      <c r="S9">
        <v>40.200000000000003</v>
      </c>
      <c r="T9">
        <v>32.9</v>
      </c>
      <c r="U9">
        <v>33.700000000000003</v>
      </c>
      <c r="V9">
        <f t="shared" si="2"/>
        <v>35.25</v>
      </c>
      <c r="W9" s="6">
        <f t="shared" si="3"/>
        <v>1.6022727272727273</v>
      </c>
    </row>
    <row r="10" spans="1:23">
      <c r="A10">
        <v>0.9</v>
      </c>
      <c r="B10">
        <v>0.6</v>
      </c>
      <c r="C10">
        <v>1.0816653826391971</v>
      </c>
      <c r="D10">
        <v>56.309932474020208</v>
      </c>
      <c r="E10">
        <v>90</v>
      </c>
      <c r="F10">
        <v>33.690067525979792</v>
      </c>
      <c r="G10">
        <v>62.774999999999999</v>
      </c>
      <c r="H10">
        <v>0.49241198817111898</v>
      </c>
      <c r="I10">
        <v>0.94320830392130994</v>
      </c>
      <c r="J10">
        <v>0.1793133527492794</v>
      </c>
      <c r="K10">
        <v>0.1280036144376335</v>
      </c>
      <c r="P10" s="4"/>
      <c r="Q10" s="6"/>
      <c r="R10">
        <v>32.4</v>
      </c>
      <c r="S10">
        <v>35.700000000000003</v>
      </c>
      <c r="V10">
        <f t="shared" si="2"/>
        <v>34.049999999999997</v>
      </c>
      <c r="W10" s="6"/>
    </row>
    <row r="11" spans="1:23">
      <c r="A11">
        <v>0.9</v>
      </c>
      <c r="B11">
        <v>0.9</v>
      </c>
      <c r="C11">
        <v>0.46587428118453739</v>
      </c>
      <c r="D11">
        <v>75.000000000000014</v>
      </c>
      <c r="E11">
        <v>30</v>
      </c>
      <c r="F11">
        <v>74.999999999999986</v>
      </c>
      <c r="G11">
        <v>81.766666666666666</v>
      </c>
      <c r="H11">
        <v>0.79149877345561148</v>
      </c>
      <c r="I11">
        <v>0.40368699590879459</v>
      </c>
      <c r="J11">
        <v>0.1205569182487017</v>
      </c>
      <c r="K11">
        <v>0.13348512174602031</v>
      </c>
      <c r="L11">
        <v>51.6</v>
      </c>
      <c r="M11">
        <v>53.9</v>
      </c>
      <c r="N11">
        <v>53.2</v>
      </c>
      <c r="O11">
        <v>55.4</v>
      </c>
      <c r="P11" s="4">
        <f t="shared" si="0"/>
        <v>53.524999999999999</v>
      </c>
      <c r="Q11" s="6">
        <f t="shared" si="1"/>
        <v>2.4329545454545456</v>
      </c>
      <c r="R11">
        <v>33.5</v>
      </c>
      <c r="S11">
        <v>33.799999999999997</v>
      </c>
      <c r="V11">
        <f t="shared" si="2"/>
        <v>33.65</v>
      </c>
      <c r="W11" s="6">
        <f t="shared" si="3"/>
        <v>1.5295454545454545</v>
      </c>
    </row>
    <row r="12" spans="1:23">
      <c r="A12">
        <v>0.9</v>
      </c>
      <c r="B12">
        <v>0.9</v>
      </c>
      <c r="C12">
        <v>0.89999999999999991</v>
      </c>
      <c r="D12">
        <v>59.999999999999993</v>
      </c>
      <c r="E12">
        <v>60</v>
      </c>
      <c r="F12">
        <v>60.000000000000007</v>
      </c>
      <c r="G12">
        <v>65</v>
      </c>
      <c r="H12">
        <v>0.77814030586794569</v>
      </c>
      <c r="I12">
        <v>0.77885827172591937</v>
      </c>
      <c r="J12">
        <v>0.13539965999628301</v>
      </c>
      <c r="K12">
        <v>0.13460192015497621</v>
      </c>
      <c r="L12">
        <v>47.3</v>
      </c>
      <c r="M12">
        <v>47.7</v>
      </c>
      <c r="N12">
        <v>46</v>
      </c>
      <c r="O12">
        <v>47.3</v>
      </c>
      <c r="P12" s="4"/>
      <c r="Q12" s="7"/>
      <c r="R12">
        <v>33.299999999999997</v>
      </c>
      <c r="S12">
        <v>29.2</v>
      </c>
      <c r="T12">
        <v>30</v>
      </c>
      <c r="U12">
        <v>32</v>
      </c>
      <c r="V12">
        <f t="shared" si="2"/>
        <v>31.125</v>
      </c>
      <c r="W12" s="6">
        <f t="shared" si="3"/>
        <v>1.4147727272727273</v>
      </c>
    </row>
    <row r="13" spans="1:23">
      <c r="A13">
        <v>0.9</v>
      </c>
      <c r="B13">
        <v>0.9</v>
      </c>
      <c r="C13">
        <v>1.272792206135785</v>
      </c>
      <c r="D13">
        <v>44.999999999999979</v>
      </c>
      <c r="E13">
        <v>90</v>
      </c>
      <c r="F13">
        <v>45.000000000000021</v>
      </c>
      <c r="G13">
        <v>50.05</v>
      </c>
      <c r="H13">
        <v>0.74563354580372954</v>
      </c>
      <c r="I13">
        <v>1.1035941042905111</v>
      </c>
      <c r="J13">
        <v>0.17151828224972471</v>
      </c>
      <c r="K13">
        <v>0.13293458342743</v>
      </c>
      <c r="P13" s="4"/>
      <c r="Q13" s="7"/>
      <c r="R13">
        <v>36.200000000000003</v>
      </c>
      <c r="V13">
        <f t="shared" si="2"/>
        <v>36.200000000000003</v>
      </c>
      <c r="W13" s="6">
        <f>V13/22</f>
        <v>1.6454545454545455</v>
      </c>
    </row>
  </sheetData>
  <phoneticPr fontId="2" type="noConversion"/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9C09C-C53B-4D4E-B105-51033AAB2610}">
  <dimension ref="A1:U13"/>
  <sheetViews>
    <sheetView workbookViewId="0">
      <selection activeCell="H2" sqref="H2"/>
    </sheetView>
  </sheetViews>
  <sheetFormatPr defaultRowHeight="15"/>
  <cols>
    <col min="1" max="6" width="18.75" bestFit="1" customWidth="1"/>
    <col min="7" max="9" width="15.5" bestFit="1" customWidth="1"/>
    <col min="10" max="10" width="9.875" bestFit="1" customWidth="1"/>
    <col min="11" max="11" width="8.625" hidden="1" customWidth="1"/>
    <col min="12" max="13" width="0" hidden="1" customWidth="1"/>
    <col min="14" max="14" width="15.125" bestFit="1" customWidth="1"/>
    <col min="15" max="15" width="13.875" bestFit="1" customWidth="1"/>
    <col min="17" max="19" width="0" hidden="1" customWidth="1"/>
    <col min="20" max="20" width="13.75" bestFit="1" customWidth="1"/>
    <col min="21" max="21" width="12.5" bestFit="1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3" t="s">
        <v>6</v>
      </c>
      <c r="H1" s="1" t="s">
        <v>7</v>
      </c>
      <c r="I1" s="1" t="s">
        <v>8</v>
      </c>
      <c r="J1" s="14" t="s">
        <v>12</v>
      </c>
      <c r="K1" s="15"/>
      <c r="L1" s="15"/>
      <c r="M1" s="15"/>
      <c r="N1" s="16" t="s">
        <v>14</v>
      </c>
      <c r="O1" s="14" t="s">
        <v>16</v>
      </c>
      <c r="P1" s="14" t="s">
        <v>11</v>
      </c>
      <c r="Q1" s="15"/>
      <c r="R1" s="15"/>
      <c r="S1" s="15"/>
      <c r="T1" s="17" t="s">
        <v>13</v>
      </c>
      <c r="U1" s="17" t="s">
        <v>15</v>
      </c>
    </row>
    <row r="2" spans="1:21">
      <c r="A2" s="5">
        <v>0.6</v>
      </c>
      <c r="B2" s="5">
        <v>0.6</v>
      </c>
      <c r="C2" s="5">
        <v>0.6</v>
      </c>
      <c r="D2" s="5">
        <v>60.000000000000007</v>
      </c>
      <c r="E2" s="5">
        <v>60</v>
      </c>
      <c r="F2" s="9">
        <v>59.999999999999993</v>
      </c>
      <c r="G2" s="5">
        <v>70.7</v>
      </c>
      <c r="H2" s="5">
        <v>0.45901662751675459</v>
      </c>
      <c r="I2" s="9">
        <v>0.48174712180640922</v>
      </c>
      <c r="J2" s="5">
        <v>59.5</v>
      </c>
      <c r="K2" s="5">
        <v>54.1</v>
      </c>
      <c r="L2" s="5">
        <v>58.1</v>
      </c>
      <c r="M2" s="5">
        <v>54.4</v>
      </c>
      <c r="N2" s="5">
        <f t="shared" ref="N2:N5" si="0">AVERAGE(J2:M2)</f>
        <v>56.524999999999999</v>
      </c>
      <c r="O2" s="8">
        <f t="shared" ref="O2:O5" si="1">N2/22</f>
        <v>2.5693181818181818</v>
      </c>
      <c r="P2" s="5">
        <v>39</v>
      </c>
      <c r="Q2" s="5">
        <v>49.1</v>
      </c>
      <c r="R2" s="5">
        <v>46.9</v>
      </c>
      <c r="S2" s="5"/>
      <c r="T2" s="5">
        <f t="shared" ref="T2:T5" si="2">AVERAGE(P2:S2)</f>
        <v>45</v>
      </c>
      <c r="U2" s="6">
        <f>T2/22</f>
        <v>2.0454545454545454</v>
      </c>
    </row>
    <row r="3" spans="1:21">
      <c r="A3" s="5">
        <v>0.6</v>
      </c>
      <c r="B3" s="5">
        <v>0.9</v>
      </c>
      <c r="C3" s="5">
        <v>0.79372539331937708</v>
      </c>
      <c r="D3" s="5">
        <v>40.893394649130897</v>
      </c>
      <c r="E3" s="5">
        <v>60</v>
      </c>
      <c r="F3" s="9">
        <v>79.106605350869103</v>
      </c>
      <c r="G3" s="5">
        <v>51.825000000000003</v>
      </c>
      <c r="H3" s="5">
        <v>0.68703573164592169</v>
      </c>
      <c r="I3" s="9">
        <v>0.58224553925766087</v>
      </c>
      <c r="J3" s="5">
        <v>48.4</v>
      </c>
      <c r="K3" s="5">
        <v>48.1</v>
      </c>
      <c r="L3" s="5">
        <v>51.1</v>
      </c>
      <c r="M3" s="5">
        <v>50.1</v>
      </c>
      <c r="N3" s="5">
        <f t="shared" si="0"/>
        <v>49.424999999999997</v>
      </c>
      <c r="O3" s="8">
        <f t="shared" si="1"/>
        <v>2.2465909090909091</v>
      </c>
      <c r="P3" s="5">
        <v>28.8</v>
      </c>
      <c r="Q3" s="5">
        <v>30</v>
      </c>
      <c r="R3" s="5"/>
      <c r="S3" s="5"/>
      <c r="T3" s="5">
        <f t="shared" si="2"/>
        <v>29.4</v>
      </c>
      <c r="U3" s="6">
        <f>T3/22</f>
        <v>1.3363636363636362</v>
      </c>
    </row>
    <row r="4" spans="1:21">
      <c r="A4" s="5">
        <v>0.9</v>
      </c>
      <c r="B4" s="5">
        <v>0.6</v>
      </c>
      <c r="C4" s="5">
        <v>0.79372539331937708</v>
      </c>
      <c r="D4" s="5">
        <v>79.106605350869103</v>
      </c>
      <c r="E4" s="5">
        <v>60</v>
      </c>
      <c r="F4" s="9">
        <v>40.893394649130897</v>
      </c>
      <c r="G4" s="5">
        <v>84.724999999999994</v>
      </c>
      <c r="H4" s="5">
        <v>0.52749718423651881</v>
      </c>
      <c r="I4" s="9">
        <v>0.70249518324590676</v>
      </c>
      <c r="J4" s="5">
        <v>56.6</v>
      </c>
      <c r="K4" s="5">
        <v>52.3</v>
      </c>
      <c r="L4" s="5">
        <v>51.4</v>
      </c>
      <c r="M4" s="5">
        <v>49.3</v>
      </c>
      <c r="N4" s="5">
        <f t="shared" si="0"/>
        <v>52.400000000000006</v>
      </c>
      <c r="O4" s="8">
        <f t="shared" si="1"/>
        <v>2.3818181818181823</v>
      </c>
      <c r="P4" s="5">
        <v>34.200000000000003</v>
      </c>
      <c r="Q4" s="5">
        <v>40.200000000000003</v>
      </c>
      <c r="R4" s="5">
        <v>32.9</v>
      </c>
      <c r="S4" s="5">
        <v>33.700000000000003</v>
      </c>
      <c r="T4" s="5">
        <f t="shared" si="2"/>
        <v>35.25</v>
      </c>
      <c r="U4" s="6">
        <f t="shared" ref="U4:U5" si="3">T4/22</f>
        <v>1.6022727272727273</v>
      </c>
    </row>
    <row r="5" spans="1:21">
      <c r="A5" s="5">
        <v>0.9</v>
      </c>
      <c r="B5" s="5">
        <v>0.9</v>
      </c>
      <c r="C5" s="5">
        <v>0.46587428118453739</v>
      </c>
      <c r="D5" s="5">
        <v>75.000000000000014</v>
      </c>
      <c r="E5" s="5">
        <v>30</v>
      </c>
      <c r="F5" s="9">
        <v>74.999999999999986</v>
      </c>
      <c r="G5" s="5">
        <v>81.766666666666666</v>
      </c>
      <c r="H5" s="5">
        <v>0.79149877345561148</v>
      </c>
      <c r="I5" s="9">
        <v>0.40368699590879459</v>
      </c>
      <c r="J5" s="5">
        <v>51.6</v>
      </c>
      <c r="K5" s="5">
        <v>53.9</v>
      </c>
      <c r="L5" s="5">
        <v>53.2</v>
      </c>
      <c r="M5" s="5">
        <v>55.4</v>
      </c>
      <c r="N5" s="5">
        <f t="shared" si="0"/>
        <v>53.524999999999999</v>
      </c>
      <c r="O5" s="8">
        <f t="shared" si="1"/>
        <v>2.4329545454545456</v>
      </c>
      <c r="P5" s="5">
        <v>33.5</v>
      </c>
      <c r="Q5" s="5">
        <v>33.799999999999997</v>
      </c>
      <c r="R5" s="5"/>
      <c r="S5" s="5"/>
      <c r="T5" s="5">
        <f t="shared" si="2"/>
        <v>33.65</v>
      </c>
      <c r="U5" s="6">
        <f t="shared" si="3"/>
        <v>1.5295454545454545</v>
      </c>
    </row>
    <row r="6" spans="1:21">
      <c r="O6" s="8">
        <f>AVERAGE(O2:O5)</f>
        <v>2.407670454545455</v>
      </c>
      <c r="U6" s="8">
        <f>AVERAGE(U2:U5)</f>
        <v>1.6284090909090909</v>
      </c>
    </row>
    <row r="7" spans="1:21">
      <c r="B7" s="18"/>
      <c r="C7" s="10"/>
      <c r="D7" s="10"/>
      <c r="O7" s="8">
        <f>22*O6</f>
        <v>52.968750000000014</v>
      </c>
      <c r="P7" s="8"/>
      <c r="Q7" s="8"/>
      <c r="R7" s="8"/>
      <c r="S7" s="8"/>
      <c r="T7" s="8"/>
      <c r="U7" s="8">
        <f t="shared" ref="U7" si="4">22*U6</f>
        <v>35.825000000000003</v>
      </c>
    </row>
    <row r="8" spans="1:21">
      <c r="B8" s="11"/>
      <c r="C8" s="11"/>
      <c r="D8" s="12"/>
      <c r="E8" s="6"/>
    </row>
    <row r="9" spans="1:21">
      <c r="B9" s="11"/>
      <c r="C9" s="11"/>
      <c r="D9" s="12"/>
      <c r="E9" s="6"/>
    </row>
    <row r="10" spans="1:21">
      <c r="B10" s="11"/>
      <c r="C10" s="11"/>
      <c r="D10" s="12"/>
      <c r="E10" s="6"/>
    </row>
    <row r="11" spans="1:21">
      <c r="B11" s="11"/>
      <c r="C11" s="11"/>
      <c r="D11" s="12"/>
      <c r="E11" s="6"/>
    </row>
    <row r="12" spans="1:21">
      <c r="B12" s="11"/>
      <c r="C12" s="11"/>
      <c r="D12" s="12"/>
      <c r="E12" s="6"/>
    </row>
    <row r="13" spans="1:21">
      <c r="B13" s="11"/>
      <c r="C13" s="11"/>
      <c r="D13" s="12"/>
      <c r="E13" s="6"/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F1656-33D3-474F-86E9-AAFFBFCFE5E3}">
  <dimension ref="A1:U15"/>
  <sheetViews>
    <sheetView workbookViewId="0">
      <selection activeCell="C27" sqref="C27"/>
    </sheetView>
  </sheetViews>
  <sheetFormatPr defaultRowHeight="15"/>
  <cols>
    <col min="1" max="6" width="18.75" bestFit="1" customWidth="1"/>
    <col min="7" max="9" width="15.5" bestFit="1" customWidth="1"/>
    <col min="10" max="10" width="9.875" bestFit="1" customWidth="1"/>
    <col min="11" max="11" width="8.625" hidden="1" customWidth="1"/>
    <col min="12" max="13" width="0" hidden="1" customWidth="1"/>
    <col min="14" max="14" width="15.125" bestFit="1" customWidth="1"/>
    <col min="15" max="15" width="13.875" bestFit="1" customWidth="1"/>
    <col min="17" max="19" width="0" hidden="1" customWidth="1"/>
    <col min="20" max="20" width="13.75" bestFit="1" customWidth="1"/>
    <col min="21" max="21" width="12.5" bestFit="1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3" t="s">
        <v>6</v>
      </c>
      <c r="H1" s="1" t="s">
        <v>7</v>
      </c>
      <c r="I1" s="1" t="s">
        <v>8</v>
      </c>
      <c r="J1" s="14" t="s">
        <v>12</v>
      </c>
      <c r="K1" s="15"/>
      <c r="L1" s="15"/>
      <c r="M1" s="15"/>
      <c r="N1" s="16" t="s">
        <v>14</v>
      </c>
      <c r="O1" s="14" t="s">
        <v>16</v>
      </c>
      <c r="P1" s="14" t="s">
        <v>11</v>
      </c>
      <c r="Q1" s="15"/>
      <c r="R1" s="15"/>
      <c r="S1" s="15"/>
      <c r="T1" s="17" t="s">
        <v>13</v>
      </c>
      <c r="U1" s="17" t="s">
        <v>15</v>
      </c>
    </row>
    <row r="2" spans="1:21">
      <c r="A2" s="5">
        <v>0.6</v>
      </c>
      <c r="B2" s="5">
        <v>0.6</v>
      </c>
      <c r="C2" s="5">
        <v>0.31058285412302489</v>
      </c>
      <c r="D2" s="5">
        <v>75</v>
      </c>
      <c r="E2" s="5">
        <v>30</v>
      </c>
      <c r="F2" s="9">
        <v>75</v>
      </c>
      <c r="G2" s="5">
        <v>93.1</v>
      </c>
      <c r="H2" s="5">
        <v>0.48351229911538041</v>
      </c>
      <c r="I2" s="9">
        <v>0.24457054343076851</v>
      </c>
      <c r="J2" s="5">
        <v>74</v>
      </c>
      <c r="K2" s="5">
        <v>80.3</v>
      </c>
      <c r="L2" s="5">
        <v>75.3</v>
      </c>
      <c r="M2" s="5"/>
      <c r="N2" s="5">
        <f>AVERAGE(J2:M2)</f>
        <v>76.533333333333346</v>
      </c>
      <c r="O2" s="8">
        <f>N2/22</f>
        <v>3.4787878787878794</v>
      </c>
      <c r="P2" s="5">
        <v>60</v>
      </c>
      <c r="Q2" s="5"/>
      <c r="R2" s="5"/>
      <c r="S2" s="5"/>
      <c r="T2" s="5">
        <f>AVERAGE(P2:S2)</f>
        <v>60</v>
      </c>
      <c r="U2" s="6">
        <f>T2/22</f>
        <v>2.7272727272727271</v>
      </c>
    </row>
    <row r="3" spans="1:21">
      <c r="A3" s="5">
        <v>0.6</v>
      </c>
      <c r="B3" s="5">
        <v>0.6</v>
      </c>
      <c r="C3" s="5">
        <v>0.6</v>
      </c>
      <c r="D3" s="5">
        <v>60.000000000000007</v>
      </c>
      <c r="E3" s="5">
        <v>60</v>
      </c>
      <c r="F3" s="9">
        <v>59.999999999999993</v>
      </c>
      <c r="G3" s="5">
        <v>70.7</v>
      </c>
      <c r="H3" s="5">
        <v>0.45901662751675459</v>
      </c>
      <c r="I3" s="9">
        <v>0.48174712180640922</v>
      </c>
      <c r="J3" s="5">
        <v>59.5</v>
      </c>
      <c r="K3" s="5">
        <v>54.1</v>
      </c>
      <c r="L3" s="5">
        <v>58.1</v>
      </c>
      <c r="M3" s="5">
        <v>54.4</v>
      </c>
      <c r="N3" s="5">
        <f t="shared" ref="N3:N7" si="0">AVERAGE(J3:M3)</f>
        <v>56.524999999999999</v>
      </c>
      <c r="O3" s="8">
        <f t="shared" ref="O3:O7" si="1">N3/22</f>
        <v>2.5693181818181818</v>
      </c>
      <c r="P3" s="5">
        <v>39</v>
      </c>
      <c r="Q3" s="5">
        <v>49.1</v>
      </c>
      <c r="R3" s="5">
        <v>46.9</v>
      </c>
      <c r="S3" s="5"/>
      <c r="T3" s="5">
        <f t="shared" ref="T3:T7" si="2">AVERAGE(P3:S3)</f>
        <v>45</v>
      </c>
      <c r="U3" s="6">
        <f>T3/22</f>
        <v>2.0454545454545454</v>
      </c>
    </row>
    <row r="4" spans="1:21">
      <c r="A4" s="5">
        <v>0.6</v>
      </c>
      <c r="B4" s="5">
        <v>0.9</v>
      </c>
      <c r="C4" s="5">
        <v>0.79372539331937708</v>
      </c>
      <c r="D4" s="5">
        <v>40.893394649130897</v>
      </c>
      <c r="E4" s="5">
        <v>60</v>
      </c>
      <c r="F4" s="9">
        <v>79.106605350869103</v>
      </c>
      <c r="G4" s="5">
        <v>51.825000000000003</v>
      </c>
      <c r="H4" s="5">
        <v>0.68703573164592169</v>
      </c>
      <c r="I4" s="9">
        <v>0.58224553925766087</v>
      </c>
      <c r="J4" s="5">
        <v>48.4</v>
      </c>
      <c r="K4" s="5">
        <v>48.1</v>
      </c>
      <c r="L4" s="5">
        <v>51.1</v>
      </c>
      <c r="M4" s="5">
        <v>50.1</v>
      </c>
      <c r="N4" s="5">
        <f t="shared" si="0"/>
        <v>49.424999999999997</v>
      </c>
      <c r="O4" s="8">
        <f t="shared" si="1"/>
        <v>2.2465909090909091</v>
      </c>
      <c r="P4" s="5">
        <v>28.8</v>
      </c>
      <c r="Q4" s="5">
        <v>30</v>
      </c>
      <c r="R4" s="5"/>
      <c r="S4" s="5"/>
      <c r="T4" s="5">
        <f t="shared" si="2"/>
        <v>29.4</v>
      </c>
      <c r="U4" s="6">
        <f>T4/22</f>
        <v>1.3363636363636362</v>
      </c>
    </row>
    <row r="5" spans="1:21">
      <c r="A5" s="5">
        <v>0.9</v>
      </c>
      <c r="B5" s="5">
        <v>0.6</v>
      </c>
      <c r="C5" s="5">
        <v>0.48445078585219159</v>
      </c>
      <c r="D5" s="5">
        <v>111.7380338002902</v>
      </c>
      <c r="E5" s="5">
        <v>30</v>
      </c>
      <c r="F5" s="9">
        <v>38.261966199709839</v>
      </c>
      <c r="G5" s="5">
        <v>114.9666666666667</v>
      </c>
      <c r="H5" s="5">
        <v>0.54380155735576474</v>
      </c>
      <c r="I5" s="9">
        <v>0.4443468229492506</v>
      </c>
      <c r="J5" s="5">
        <v>71.900000000000006</v>
      </c>
      <c r="K5" s="5">
        <v>71.5</v>
      </c>
      <c r="L5" s="5">
        <v>72</v>
      </c>
      <c r="M5" s="5"/>
      <c r="N5" s="5">
        <f t="shared" si="0"/>
        <v>71.8</v>
      </c>
      <c r="O5" s="8">
        <f t="shared" si="1"/>
        <v>3.2636363636363637</v>
      </c>
      <c r="P5" s="5">
        <v>77.5</v>
      </c>
      <c r="Q5" s="5"/>
      <c r="R5" s="5"/>
      <c r="S5" s="5"/>
      <c r="T5" s="5">
        <f t="shared" si="2"/>
        <v>77.5</v>
      </c>
      <c r="U5" s="6">
        <f t="shared" ref="U5:U7" si="3">T5/22</f>
        <v>3.5227272727272729</v>
      </c>
    </row>
    <row r="6" spans="1:21">
      <c r="A6" s="5">
        <v>0.9</v>
      </c>
      <c r="B6" s="5">
        <v>0.6</v>
      </c>
      <c r="C6" s="5">
        <v>0.79372539331937708</v>
      </c>
      <c r="D6" s="5">
        <v>79.106605350869103</v>
      </c>
      <c r="E6" s="5">
        <v>60</v>
      </c>
      <c r="F6" s="9">
        <v>40.893394649130897</v>
      </c>
      <c r="G6" s="5">
        <v>84.724999999999994</v>
      </c>
      <c r="H6" s="5">
        <v>0.52749718423651881</v>
      </c>
      <c r="I6" s="9">
        <v>0.70249518324590676</v>
      </c>
      <c r="J6" s="5">
        <v>56.6</v>
      </c>
      <c r="K6" s="5">
        <v>52.3</v>
      </c>
      <c r="L6" s="5">
        <v>51.4</v>
      </c>
      <c r="M6" s="5">
        <v>49.3</v>
      </c>
      <c r="N6" s="5">
        <f t="shared" si="0"/>
        <v>52.400000000000006</v>
      </c>
      <c r="O6" s="8">
        <f t="shared" si="1"/>
        <v>2.3818181818181823</v>
      </c>
      <c r="P6" s="5">
        <v>34.200000000000003</v>
      </c>
      <c r="Q6" s="5">
        <v>40.200000000000003</v>
      </c>
      <c r="R6" s="5">
        <v>32.9</v>
      </c>
      <c r="S6" s="5">
        <v>33.700000000000003</v>
      </c>
      <c r="T6" s="5">
        <f t="shared" si="2"/>
        <v>35.25</v>
      </c>
      <c r="U6" s="6">
        <f t="shared" si="3"/>
        <v>1.6022727272727273</v>
      </c>
    </row>
    <row r="7" spans="1:21">
      <c r="A7" s="5">
        <v>0.9</v>
      </c>
      <c r="B7" s="5">
        <v>0.9</v>
      </c>
      <c r="C7" s="5">
        <v>0.46587428118453739</v>
      </c>
      <c r="D7" s="5">
        <v>75.000000000000014</v>
      </c>
      <c r="E7" s="5">
        <v>30</v>
      </c>
      <c r="F7" s="9">
        <v>74.999999999999986</v>
      </c>
      <c r="G7" s="5">
        <v>81.766666666666666</v>
      </c>
      <c r="H7" s="5">
        <v>0.79149877345561148</v>
      </c>
      <c r="I7" s="9">
        <v>0.40368699590879459</v>
      </c>
      <c r="J7" s="5">
        <v>51.6</v>
      </c>
      <c r="K7" s="5">
        <v>53.9</v>
      </c>
      <c r="L7" s="5">
        <v>53.2</v>
      </c>
      <c r="M7" s="5">
        <v>55.4</v>
      </c>
      <c r="N7" s="5">
        <f t="shared" si="0"/>
        <v>53.524999999999999</v>
      </c>
      <c r="O7" s="8">
        <f t="shared" si="1"/>
        <v>2.4329545454545456</v>
      </c>
      <c r="P7" s="5">
        <v>33.5</v>
      </c>
      <c r="Q7" s="5">
        <v>33.799999999999997</v>
      </c>
      <c r="R7" s="5"/>
      <c r="S7" s="5"/>
      <c r="T7" s="5">
        <f t="shared" si="2"/>
        <v>33.65</v>
      </c>
      <c r="U7" s="6">
        <f t="shared" si="3"/>
        <v>1.5295454545454545</v>
      </c>
    </row>
    <row r="9" spans="1:21">
      <c r="B9" s="18"/>
      <c r="C9" s="10"/>
      <c r="D9" s="10"/>
    </row>
    <row r="10" spans="1:21">
      <c r="B10" s="11"/>
      <c r="C10" s="11"/>
      <c r="D10" s="12"/>
      <c r="E10" s="6"/>
    </row>
    <row r="11" spans="1:21">
      <c r="B11" s="11"/>
      <c r="C11" s="11"/>
      <c r="D11" s="12"/>
      <c r="E11" s="6"/>
    </row>
    <row r="12" spans="1:21">
      <c r="B12" s="11"/>
      <c r="C12" s="11"/>
      <c r="D12" s="12"/>
      <c r="E12" s="6"/>
    </row>
    <row r="13" spans="1:21">
      <c r="B13" s="11"/>
      <c r="C13" s="11"/>
      <c r="D13" s="12"/>
      <c r="E13" s="6"/>
    </row>
    <row r="14" spans="1:21">
      <c r="B14" s="11"/>
      <c r="C14" s="11"/>
      <c r="D14" s="12"/>
      <c r="E14" s="6"/>
    </row>
    <row r="15" spans="1:21">
      <c r="B15" s="11"/>
      <c r="C15" s="11"/>
      <c r="D15" s="12"/>
      <c r="E15" s="6"/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0D722-306F-4B64-A89A-132A087F6E59}">
  <dimension ref="A1:W15"/>
  <sheetViews>
    <sheetView workbookViewId="0">
      <selection activeCell="B9" sqref="B9"/>
    </sheetView>
  </sheetViews>
  <sheetFormatPr defaultRowHeight="15"/>
  <cols>
    <col min="1" max="6" width="18.75" bestFit="1" customWidth="1"/>
    <col min="7" max="9" width="15.5" bestFit="1" customWidth="1"/>
    <col min="10" max="11" width="14.25" bestFit="1" customWidth="1"/>
    <col min="12" max="12" width="9.875" bestFit="1" customWidth="1"/>
    <col min="13" max="13" width="8.625" bestFit="1" customWidth="1"/>
    <col min="16" max="16" width="15.125" bestFit="1" customWidth="1"/>
    <col min="17" max="17" width="13.875" bestFit="1" customWidth="1"/>
    <col min="22" max="22" width="13.75" bestFit="1" customWidth="1"/>
    <col min="23" max="23" width="12.5" bestFit="1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12</v>
      </c>
      <c r="P1" s="3" t="s">
        <v>14</v>
      </c>
      <c r="Q1" s="3" t="s">
        <v>16</v>
      </c>
      <c r="R1" s="2" t="s">
        <v>11</v>
      </c>
      <c r="V1" s="2" t="s">
        <v>13</v>
      </c>
      <c r="W1" s="2" t="s">
        <v>15</v>
      </c>
    </row>
    <row r="2" spans="1:23">
      <c r="A2" s="5">
        <v>0.6</v>
      </c>
      <c r="B2" s="5">
        <v>0.6</v>
      </c>
      <c r="C2" s="5">
        <v>0.31058285412302489</v>
      </c>
      <c r="D2" s="5">
        <v>75</v>
      </c>
      <c r="E2" s="5">
        <v>30</v>
      </c>
      <c r="F2" s="5">
        <v>75</v>
      </c>
      <c r="G2" s="5">
        <v>93.1</v>
      </c>
      <c r="H2" s="5">
        <v>0.48351229911538041</v>
      </c>
      <c r="I2" s="5">
        <v>0.24457054343076851</v>
      </c>
      <c r="J2" s="5">
        <v>0.19414616781745561</v>
      </c>
      <c r="K2" s="5">
        <v>0.21254331848455779</v>
      </c>
      <c r="L2" s="5">
        <v>74</v>
      </c>
      <c r="M2" s="5">
        <v>80.3</v>
      </c>
      <c r="N2" s="5">
        <v>75.3</v>
      </c>
      <c r="O2" s="5"/>
      <c r="P2" s="9">
        <f>AVERAGE(L2:O2)</f>
        <v>76.533333333333346</v>
      </c>
      <c r="Q2" s="6">
        <f>P2/22</f>
        <v>3.4787878787878794</v>
      </c>
      <c r="R2" s="5">
        <v>60</v>
      </c>
      <c r="S2" s="5"/>
      <c r="T2" s="5"/>
      <c r="U2" s="5"/>
      <c r="V2" s="5">
        <f>AVERAGE(R2:U2)</f>
        <v>60</v>
      </c>
      <c r="W2" s="6">
        <f>V2/22</f>
        <v>2.7272727272727271</v>
      </c>
    </row>
    <row r="3" spans="1:23">
      <c r="A3" s="5">
        <v>0.6</v>
      </c>
      <c r="B3" s="5">
        <v>0.6</v>
      </c>
      <c r="C3" s="5">
        <v>0.6</v>
      </c>
      <c r="D3" s="5">
        <v>60.000000000000007</v>
      </c>
      <c r="E3" s="5">
        <v>60</v>
      </c>
      <c r="F3" s="5">
        <v>59.999999999999993</v>
      </c>
      <c r="G3" s="5">
        <v>70.7</v>
      </c>
      <c r="H3" s="5">
        <v>0.45901662751675459</v>
      </c>
      <c r="I3" s="5">
        <v>0.48174712180640922</v>
      </c>
      <c r="J3" s="5">
        <v>0.23497228708045509</v>
      </c>
      <c r="K3" s="5">
        <v>0.19708812999417119</v>
      </c>
      <c r="L3" s="5">
        <v>59.5</v>
      </c>
      <c r="M3" s="5">
        <v>54.1</v>
      </c>
      <c r="N3" s="5">
        <v>58.1</v>
      </c>
      <c r="O3" s="5">
        <v>54.4</v>
      </c>
      <c r="P3" s="9">
        <f t="shared" ref="P3:P7" si="0">AVERAGE(L3:O3)</f>
        <v>56.524999999999999</v>
      </c>
      <c r="Q3" s="6">
        <f t="shared" ref="Q3:Q7" si="1">P3/22</f>
        <v>2.5693181818181818</v>
      </c>
      <c r="R3" s="5">
        <v>39</v>
      </c>
      <c r="S3" s="5">
        <v>49.1</v>
      </c>
      <c r="T3" s="5">
        <v>46.9</v>
      </c>
      <c r="U3" s="5"/>
      <c r="V3" s="5">
        <f t="shared" ref="V3:V7" si="2">AVERAGE(R3:U3)</f>
        <v>45</v>
      </c>
      <c r="W3" s="6">
        <f>V3/22</f>
        <v>2.0454545454545454</v>
      </c>
    </row>
    <row r="4" spans="1:23">
      <c r="A4" s="5">
        <v>0.6</v>
      </c>
      <c r="B4" s="5">
        <v>0.9</v>
      </c>
      <c r="C4" s="5">
        <v>0.79372539331937708</v>
      </c>
      <c r="D4" s="5">
        <v>40.893394649130897</v>
      </c>
      <c r="E4" s="5">
        <v>60</v>
      </c>
      <c r="F4" s="5">
        <v>79.106605350869103</v>
      </c>
      <c r="G4" s="5">
        <v>51.825000000000003</v>
      </c>
      <c r="H4" s="5">
        <v>0.68703573164592169</v>
      </c>
      <c r="I4" s="5">
        <v>0.58224553925766087</v>
      </c>
      <c r="J4" s="5">
        <v>0.236626964574946</v>
      </c>
      <c r="K4" s="5">
        <v>0.26643957163933391</v>
      </c>
      <c r="L4" s="5">
        <v>48.4</v>
      </c>
      <c r="M4" s="5">
        <v>48.1</v>
      </c>
      <c r="N4" s="5">
        <v>51.1</v>
      </c>
      <c r="O4" s="5">
        <v>50.1</v>
      </c>
      <c r="P4" s="9">
        <f t="shared" si="0"/>
        <v>49.424999999999997</v>
      </c>
      <c r="Q4" s="6">
        <f t="shared" si="1"/>
        <v>2.2465909090909091</v>
      </c>
      <c r="R4" s="5">
        <v>28.8</v>
      </c>
      <c r="S4" s="5">
        <v>30</v>
      </c>
      <c r="T4" s="5"/>
      <c r="U4" s="5"/>
      <c r="V4" s="5">
        <f t="shared" si="2"/>
        <v>29.4</v>
      </c>
      <c r="W4" s="6">
        <f>V4/22</f>
        <v>1.3363636363636362</v>
      </c>
    </row>
    <row r="5" spans="1:23">
      <c r="A5" s="5">
        <v>0.9</v>
      </c>
      <c r="B5" s="5">
        <v>0.6</v>
      </c>
      <c r="C5" s="5">
        <v>0.48445078585219159</v>
      </c>
      <c r="D5" s="5">
        <v>111.7380338002902</v>
      </c>
      <c r="E5" s="5">
        <v>30</v>
      </c>
      <c r="F5" s="5">
        <v>38.261966199709839</v>
      </c>
      <c r="G5" s="5">
        <v>114.9666666666667</v>
      </c>
      <c r="H5" s="5">
        <v>0.54380155735576474</v>
      </c>
      <c r="I5" s="5">
        <v>0.4443468229492506</v>
      </c>
      <c r="J5" s="5">
        <v>9.3664070917618622E-2</v>
      </c>
      <c r="K5" s="5">
        <v>8.2782325865386544E-2</v>
      </c>
      <c r="L5" s="5">
        <v>71.900000000000006</v>
      </c>
      <c r="M5" s="5">
        <v>71.5</v>
      </c>
      <c r="N5" s="5">
        <v>72</v>
      </c>
      <c r="O5" s="5"/>
      <c r="P5" s="9">
        <f t="shared" si="0"/>
        <v>71.8</v>
      </c>
      <c r="Q5" s="6">
        <f t="shared" si="1"/>
        <v>3.2636363636363637</v>
      </c>
      <c r="R5" s="5">
        <v>77.5</v>
      </c>
      <c r="S5" s="5"/>
      <c r="T5" s="5"/>
      <c r="U5" s="5"/>
      <c r="V5" s="5">
        <f t="shared" si="2"/>
        <v>77.5</v>
      </c>
      <c r="W5" s="6">
        <f t="shared" ref="W5:W7" si="3">V5/22</f>
        <v>3.5227272727272729</v>
      </c>
    </row>
    <row r="6" spans="1:23">
      <c r="A6" s="5">
        <v>0.9</v>
      </c>
      <c r="B6" s="5">
        <v>0.6</v>
      </c>
      <c r="C6" s="5">
        <v>0.79372539331937708</v>
      </c>
      <c r="D6" s="5">
        <v>79.106605350869103</v>
      </c>
      <c r="E6" s="5">
        <v>60</v>
      </c>
      <c r="F6" s="5">
        <v>40.893394649130897</v>
      </c>
      <c r="G6" s="5">
        <v>84.724999999999994</v>
      </c>
      <c r="H6" s="5">
        <v>0.52749718423651881</v>
      </c>
      <c r="I6" s="5">
        <v>0.70249518324590676</v>
      </c>
      <c r="J6" s="5">
        <v>0.120838026071072</v>
      </c>
      <c r="K6" s="5">
        <v>0.1149392607649912</v>
      </c>
      <c r="L6" s="5">
        <v>56.6</v>
      </c>
      <c r="M6" s="5">
        <v>52.3</v>
      </c>
      <c r="N6" s="5">
        <v>51.4</v>
      </c>
      <c r="O6" s="5">
        <v>49.3</v>
      </c>
      <c r="P6" s="9">
        <f t="shared" si="0"/>
        <v>52.400000000000006</v>
      </c>
      <c r="Q6" s="6">
        <f t="shared" si="1"/>
        <v>2.3818181818181823</v>
      </c>
      <c r="R6" s="5">
        <v>34.200000000000003</v>
      </c>
      <c r="S6" s="5">
        <v>40.200000000000003</v>
      </c>
      <c r="T6" s="5">
        <v>32.9</v>
      </c>
      <c r="U6" s="5">
        <v>33.700000000000003</v>
      </c>
      <c r="V6" s="5">
        <f t="shared" si="2"/>
        <v>35.25</v>
      </c>
      <c r="W6" s="6">
        <f t="shared" si="3"/>
        <v>1.6022727272727273</v>
      </c>
    </row>
    <row r="7" spans="1:23">
      <c r="A7" s="5">
        <v>0.9</v>
      </c>
      <c r="B7" s="5">
        <v>0.9</v>
      </c>
      <c r="C7" s="5">
        <v>0.46587428118453739</v>
      </c>
      <c r="D7" s="5">
        <v>75.000000000000014</v>
      </c>
      <c r="E7" s="5">
        <v>30</v>
      </c>
      <c r="F7" s="5">
        <v>74.999999999999986</v>
      </c>
      <c r="G7" s="5">
        <v>81.766666666666666</v>
      </c>
      <c r="H7" s="5">
        <v>0.79149877345561148</v>
      </c>
      <c r="I7" s="5">
        <v>0.40368699590879459</v>
      </c>
      <c r="J7" s="5">
        <v>0.1205569182487017</v>
      </c>
      <c r="K7" s="5">
        <v>0.13348512174602031</v>
      </c>
      <c r="L7" s="5">
        <v>51.6</v>
      </c>
      <c r="M7" s="5">
        <v>53.9</v>
      </c>
      <c r="N7" s="5">
        <v>53.2</v>
      </c>
      <c r="O7" s="5">
        <v>55.4</v>
      </c>
      <c r="P7" s="9">
        <f t="shared" si="0"/>
        <v>53.524999999999999</v>
      </c>
      <c r="Q7" s="6">
        <f t="shared" si="1"/>
        <v>2.4329545454545456</v>
      </c>
      <c r="R7" s="5">
        <v>33.5</v>
      </c>
      <c r="S7" s="5">
        <v>33.799999999999997</v>
      </c>
      <c r="T7" s="5"/>
      <c r="U7" s="5"/>
      <c r="V7" s="5">
        <f t="shared" si="2"/>
        <v>33.65</v>
      </c>
      <c r="W7" s="6">
        <f t="shared" si="3"/>
        <v>1.5295454545454545</v>
      </c>
    </row>
    <row r="9" spans="1:23">
      <c r="B9" s="18"/>
      <c r="C9" s="10"/>
      <c r="D9" s="10"/>
    </row>
    <row r="10" spans="1:23">
      <c r="B10" s="11"/>
      <c r="C10" s="11"/>
      <c r="D10" s="12"/>
      <c r="E10" s="6"/>
    </row>
    <row r="11" spans="1:23">
      <c r="B11" s="11"/>
      <c r="C11" s="11"/>
      <c r="D11" s="12"/>
      <c r="E11" s="6"/>
    </row>
    <row r="12" spans="1:23">
      <c r="B12" s="11"/>
      <c r="C12" s="11"/>
      <c r="D12" s="12"/>
      <c r="E12" s="6"/>
    </row>
    <row r="13" spans="1:23">
      <c r="B13" s="11"/>
      <c r="C13" s="11"/>
      <c r="D13" s="12"/>
      <c r="E13" s="6"/>
    </row>
    <row r="14" spans="1:23">
      <c r="B14" s="11"/>
      <c r="C14" s="11"/>
      <c r="D14" s="12"/>
      <c r="E14" s="6"/>
    </row>
    <row r="15" spans="1:23">
      <c r="B15" s="11"/>
      <c r="C15" s="11"/>
      <c r="D15" s="12"/>
      <c r="E15" s="6"/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Sheet1</vt:lpstr>
      <vt:lpstr>Sheet1 (5)</vt:lpstr>
      <vt:lpstr>Sheet1 (4)</vt:lpstr>
      <vt:lpstr>Sheet1 (3)</vt:lpstr>
      <vt:lpstr>Sheet1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張之綺</cp:lastModifiedBy>
  <dcterms:created xsi:type="dcterms:W3CDTF">2025-09-05T12:49:58Z</dcterms:created>
  <dcterms:modified xsi:type="dcterms:W3CDTF">2025-09-06T13:20:12Z</dcterms:modified>
</cp:coreProperties>
</file>