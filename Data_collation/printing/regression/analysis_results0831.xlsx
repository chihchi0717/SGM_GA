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099DFAE5-69AE-4A68-AB7F-BCC036E644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8" r:id="rId1"/>
    <sheet name="design_s2-dip_s2" sheetId="24" r:id="rId2"/>
    <sheet name="det_s2(3params)" sheetId="26" r:id="rId3"/>
    <sheet name="Sheet0" sheetId="1" r:id="rId4"/>
    <sheet name="test" sheetId="25" r:id="rId5"/>
    <sheet name="det_s2" sheetId="21" r:id="rId6"/>
    <sheet name="det_s3" sheetId="27" r:id="rId7"/>
    <sheet name="a3" sheetId="2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8" l="1"/>
  <c r="P2" i="28"/>
  <c r="O14" i="28"/>
  <c r="O15" i="28"/>
  <c r="O16" i="28"/>
  <c r="J12" i="28"/>
  <c r="N12" i="28" s="1"/>
  <c r="M22" i="28" l="1"/>
  <c r="L22" i="28"/>
  <c r="K22" i="28"/>
  <c r="P22" i="28" s="1"/>
  <c r="J22" i="28"/>
  <c r="N22" i="28" s="1"/>
  <c r="O22" i="28" s="1"/>
  <c r="C22" i="28"/>
  <c r="F22" i="28" s="1"/>
  <c r="D22" i="28" s="1"/>
  <c r="R22" i="28" s="1"/>
  <c r="M21" i="28"/>
  <c r="L21" i="28"/>
  <c r="K21" i="28"/>
  <c r="S21" i="28" s="1"/>
  <c r="J21" i="28"/>
  <c r="N21" i="28" s="1"/>
  <c r="O21" i="28" s="1"/>
  <c r="C21" i="28"/>
  <c r="F21" i="28" s="1"/>
  <c r="D21" i="28" s="1"/>
  <c r="M20" i="28"/>
  <c r="L20" i="28"/>
  <c r="K20" i="28"/>
  <c r="S20" i="28" s="1"/>
  <c r="J20" i="28"/>
  <c r="N20" i="28" s="1"/>
  <c r="O20" i="28" s="1"/>
  <c r="C20" i="28"/>
  <c r="F20" i="28" s="1"/>
  <c r="D20" i="28" s="1"/>
  <c r="M19" i="28"/>
  <c r="L19" i="28"/>
  <c r="K19" i="28"/>
  <c r="S19" i="28" s="1"/>
  <c r="J19" i="28"/>
  <c r="N19" i="28" s="1"/>
  <c r="O19" i="28" s="1"/>
  <c r="C19" i="28"/>
  <c r="V19" i="28" s="1"/>
  <c r="M18" i="28"/>
  <c r="L18" i="28"/>
  <c r="K18" i="28"/>
  <c r="P18" i="28" s="1"/>
  <c r="J18" i="28"/>
  <c r="N18" i="28" s="1"/>
  <c r="O18" i="28" s="1"/>
  <c r="C18" i="28"/>
  <c r="F18" i="28" s="1"/>
  <c r="D18" i="28" s="1"/>
  <c r="M17" i="28"/>
  <c r="L17" i="28"/>
  <c r="K17" i="28"/>
  <c r="S17" i="28" s="1"/>
  <c r="J17" i="28"/>
  <c r="N17" i="28" s="1"/>
  <c r="O17" i="28" s="1"/>
  <c r="C17" i="28"/>
  <c r="V17" i="28" s="1"/>
  <c r="M16" i="28"/>
  <c r="L16" i="28"/>
  <c r="K16" i="28"/>
  <c r="S16" i="28" s="1"/>
  <c r="J16" i="28"/>
  <c r="N16" i="28" s="1"/>
  <c r="C16" i="28"/>
  <c r="M15" i="28"/>
  <c r="L15" i="28"/>
  <c r="K15" i="28"/>
  <c r="P15" i="28" s="1"/>
  <c r="J15" i="28"/>
  <c r="N15" i="28" s="1"/>
  <c r="C15" i="28"/>
  <c r="V15" i="28" s="1"/>
  <c r="M14" i="28"/>
  <c r="L14" i="28"/>
  <c r="K14" i="28"/>
  <c r="S14" i="28" s="1"/>
  <c r="J14" i="28"/>
  <c r="N14" i="28" s="1"/>
  <c r="C14" i="28"/>
  <c r="M13" i="28"/>
  <c r="L13" i="28"/>
  <c r="K13" i="28"/>
  <c r="P13" i="28" s="1"/>
  <c r="J13" i="28"/>
  <c r="N13" i="28" s="1"/>
  <c r="O13" i="28" s="1"/>
  <c r="C13" i="28"/>
  <c r="F13" i="28" s="1"/>
  <c r="D13" i="28" s="1"/>
  <c r="M12" i="28"/>
  <c r="L12" i="28"/>
  <c r="K12" i="28"/>
  <c r="S12" i="28" s="1"/>
  <c r="O12" i="28"/>
  <c r="C12" i="28"/>
  <c r="V12" i="28" s="1"/>
  <c r="M11" i="28"/>
  <c r="L11" i="28"/>
  <c r="K11" i="28"/>
  <c r="P11" i="28" s="1"/>
  <c r="J11" i="28"/>
  <c r="N11" i="28" s="1"/>
  <c r="O11" i="28" s="1"/>
  <c r="C11" i="28"/>
  <c r="V11" i="28" s="1"/>
  <c r="M10" i="28"/>
  <c r="L10" i="28"/>
  <c r="K10" i="28"/>
  <c r="P10" i="28" s="1"/>
  <c r="J10" i="28"/>
  <c r="N10" i="28" s="1"/>
  <c r="O10" i="28" s="1"/>
  <c r="C10" i="28"/>
  <c r="M9" i="28"/>
  <c r="L9" i="28"/>
  <c r="K9" i="28"/>
  <c r="S9" i="28" s="1"/>
  <c r="J9" i="28"/>
  <c r="N9" i="28" s="1"/>
  <c r="O9" i="28" s="1"/>
  <c r="C9" i="28"/>
  <c r="F9" i="28" s="1"/>
  <c r="D9" i="28" s="1"/>
  <c r="M8" i="28"/>
  <c r="L8" i="28"/>
  <c r="K8" i="28"/>
  <c r="S8" i="28" s="1"/>
  <c r="J8" i="28"/>
  <c r="N8" i="28" s="1"/>
  <c r="O8" i="28" s="1"/>
  <c r="C8" i="28"/>
  <c r="V8" i="28" s="1"/>
  <c r="M7" i="28"/>
  <c r="L7" i="28"/>
  <c r="K7" i="28"/>
  <c r="P7" i="28" s="1"/>
  <c r="J7" i="28"/>
  <c r="N7" i="28" s="1"/>
  <c r="O7" i="28" s="1"/>
  <c r="C7" i="28"/>
  <c r="M6" i="28"/>
  <c r="L6" i="28"/>
  <c r="K6" i="28"/>
  <c r="S6" i="28" s="1"/>
  <c r="J6" i="28"/>
  <c r="N6" i="28" s="1"/>
  <c r="O6" i="28" s="1"/>
  <c r="C6" i="28"/>
  <c r="V6" i="28" s="1"/>
  <c r="M5" i="28"/>
  <c r="L5" i="28"/>
  <c r="K5" i="28"/>
  <c r="P5" i="28" s="1"/>
  <c r="J5" i="28"/>
  <c r="N5" i="28" s="1"/>
  <c r="O5" i="28" s="1"/>
  <c r="C5" i="28"/>
  <c r="F5" i="28" s="1"/>
  <c r="D5" i="28" s="1"/>
  <c r="M4" i="28"/>
  <c r="L4" i="28"/>
  <c r="K4" i="28"/>
  <c r="P4" i="28" s="1"/>
  <c r="J4" i="28"/>
  <c r="N4" i="28" s="1"/>
  <c r="O4" i="28" s="1"/>
  <c r="C4" i="28"/>
  <c r="V4" i="28" s="1"/>
  <c r="M3" i="28"/>
  <c r="L3" i="28"/>
  <c r="K3" i="28"/>
  <c r="S3" i="28" s="1"/>
  <c r="J3" i="28"/>
  <c r="N3" i="28" s="1"/>
  <c r="O3" i="28" s="1"/>
  <c r="C3" i="28"/>
  <c r="F3" i="28" s="1"/>
  <c r="D3" i="28" s="1"/>
  <c r="M2" i="28"/>
  <c r="L2" i="28"/>
  <c r="S2" i="28"/>
  <c r="J2" i="28"/>
  <c r="N2" i="28" s="1"/>
  <c r="O2" i="28" s="1"/>
  <c r="C2" i="28"/>
  <c r="V2" i="28" s="1"/>
  <c r="C3" i="1"/>
  <c r="U2" i="1"/>
  <c r="V2" i="1"/>
  <c r="N60" i="1"/>
  <c r="L60" i="1"/>
  <c r="K60" i="1"/>
  <c r="N59" i="1"/>
  <c r="L59" i="1"/>
  <c r="K59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36" i="1"/>
  <c r="N37" i="1"/>
  <c r="N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36" i="1"/>
  <c r="J37" i="1"/>
  <c r="J38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5" i="1"/>
  <c r="J6" i="1"/>
  <c r="J7" i="1"/>
  <c r="J8" i="1"/>
  <c r="J9" i="1"/>
  <c r="J10" i="1"/>
  <c r="J11" i="1"/>
  <c r="J12" i="1"/>
  <c r="J13" i="1"/>
  <c r="J14" i="1"/>
  <c r="J15" i="1"/>
  <c r="J3" i="1"/>
  <c r="J4" i="1"/>
  <c r="J2" i="1"/>
  <c r="R2" i="1"/>
  <c r="P2" i="1"/>
  <c r="P2" i="25"/>
  <c r="D31" i="25"/>
  <c r="D25" i="25"/>
  <c r="D21" i="25"/>
  <c r="D12" i="25"/>
  <c r="D15" i="25"/>
  <c r="C30" i="25"/>
  <c r="D30" i="25" s="1"/>
  <c r="D29" i="25"/>
  <c r="C27" i="25"/>
  <c r="D27" i="25" s="1"/>
  <c r="D26" i="25"/>
  <c r="C20" i="25"/>
  <c r="D20" i="25" s="1"/>
  <c r="D19" i="25"/>
  <c r="C17" i="25"/>
  <c r="D17" i="25" s="1"/>
  <c r="D16" i="25"/>
  <c r="D7" i="25"/>
  <c r="D10" i="25"/>
  <c r="D6" i="25"/>
  <c r="C8" i="25"/>
  <c r="C11" i="25" s="1"/>
  <c r="C9" i="25" s="1"/>
  <c r="D9" i="25" s="1"/>
  <c r="L2" i="25"/>
  <c r="K2" i="25"/>
  <c r="N2" i="25"/>
  <c r="O2" i="25" s="1"/>
  <c r="M2" i="25"/>
  <c r="C2" i="25"/>
  <c r="Q2" i="25" s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X2" i="1"/>
  <c r="Q7" i="28" l="1"/>
  <c r="L23" i="28"/>
  <c r="N24" i="28"/>
  <c r="S13" i="28"/>
  <c r="W13" i="28" s="1"/>
  <c r="L24" i="28"/>
  <c r="N23" i="28"/>
  <c r="K23" i="28"/>
  <c r="K24" i="28"/>
  <c r="R5" i="28"/>
  <c r="R21" i="28"/>
  <c r="R18" i="28"/>
  <c r="Q14" i="28"/>
  <c r="Q4" i="28"/>
  <c r="T2" i="28"/>
  <c r="X2" i="28" s="1"/>
  <c r="P9" i="28"/>
  <c r="Q12" i="28"/>
  <c r="F6" i="28"/>
  <c r="D6" i="28" s="1"/>
  <c r="R6" i="28" s="1"/>
  <c r="P20" i="28"/>
  <c r="Q10" i="28"/>
  <c r="T16" i="28"/>
  <c r="X16" i="28" s="1"/>
  <c r="P6" i="28"/>
  <c r="S4" i="28"/>
  <c r="W4" i="28" s="1"/>
  <c r="P16" i="28"/>
  <c r="Q21" i="28"/>
  <c r="R20" i="28"/>
  <c r="P3" i="28"/>
  <c r="P14" i="28"/>
  <c r="Q5" i="28"/>
  <c r="V14" i="28"/>
  <c r="T20" i="28"/>
  <c r="X20" i="28" s="1"/>
  <c r="V5" i="28"/>
  <c r="V20" i="28"/>
  <c r="R13" i="28"/>
  <c r="F12" i="28"/>
  <c r="D12" i="28" s="1"/>
  <c r="R12" i="28" s="1"/>
  <c r="T15" i="28"/>
  <c r="X15" i="28" s="1"/>
  <c r="Q16" i="28"/>
  <c r="Q6" i="28"/>
  <c r="P12" i="28"/>
  <c r="Q2" i="28"/>
  <c r="T6" i="28"/>
  <c r="X6" i="28" s="1"/>
  <c r="F11" i="28"/>
  <c r="D11" i="28" s="1"/>
  <c r="R11" i="28" s="1"/>
  <c r="T12" i="28"/>
  <c r="X12" i="28" s="1"/>
  <c r="V16" i="28"/>
  <c r="T18" i="28"/>
  <c r="X18" i="28" s="1"/>
  <c r="Q20" i="28"/>
  <c r="P21" i="28"/>
  <c r="T5" i="28"/>
  <c r="X5" i="28" s="1"/>
  <c r="F17" i="28"/>
  <c r="D17" i="28" s="1"/>
  <c r="R17" i="28" s="1"/>
  <c r="S18" i="28"/>
  <c r="W18" i="28" s="1"/>
  <c r="V21" i="28"/>
  <c r="F8" i="28"/>
  <c r="D8" i="28" s="1"/>
  <c r="R8" i="28" s="1"/>
  <c r="V18" i="28"/>
  <c r="Q15" i="28"/>
  <c r="T19" i="28"/>
  <c r="X19" i="28" s="1"/>
  <c r="T21" i="28"/>
  <c r="X21" i="28" s="1"/>
  <c r="S5" i="28"/>
  <c r="W5" i="28" s="1"/>
  <c r="S11" i="28"/>
  <c r="W11" i="28" s="1"/>
  <c r="V13" i="28"/>
  <c r="S15" i="28"/>
  <c r="W15" i="28" s="1"/>
  <c r="T17" i="28"/>
  <c r="X17" i="28" s="1"/>
  <c r="V10" i="28"/>
  <c r="V7" i="28"/>
  <c r="R9" i="28"/>
  <c r="F16" i="28"/>
  <c r="D16" i="28" s="1"/>
  <c r="R16" i="28" s="1"/>
  <c r="P17" i="28"/>
  <c r="Q17" i="28"/>
  <c r="F2" i="28"/>
  <c r="D2" i="28" s="1"/>
  <c r="R2" i="28" s="1"/>
  <c r="R3" i="28"/>
  <c r="S22" i="28"/>
  <c r="W22" i="28" s="1"/>
  <c r="T14" i="28"/>
  <c r="X14" i="28" s="1"/>
  <c r="T22" i="28"/>
  <c r="X22" i="28" s="1"/>
  <c r="V22" i="28"/>
  <c r="W19" i="28"/>
  <c r="W21" i="28"/>
  <c r="W3" i="28"/>
  <c r="W20" i="28"/>
  <c r="W6" i="28"/>
  <c r="W17" i="28"/>
  <c r="W12" i="28"/>
  <c r="W14" i="28"/>
  <c r="W8" i="28"/>
  <c r="W9" i="28"/>
  <c r="W2" i="28"/>
  <c r="F4" i="28"/>
  <c r="D4" i="28" s="1"/>
  <c r="R4" i="28" s="1"/>
  <c r="S7" i="28"/>
  <c r="S10" i="28"/>
  <c r="F14" i="28"/>
  <c r="D14" i="28" s="1"/>
  <c r="R14" i="28" s="1"/>
  <c r="T4" i="28"/>
  <c r="X4" i="28" s="1"/>
  <c r="T7" i="28"/>
  <c r="X7" i="28" s="1"/>
  <c r="P8" i="28"/>
  <c r="T10" i="28"/>
  <c r="X10" i="28" s="1"/>
  <c r="F15" i="28"/>
  <c r="D15" i="28" s="1"/>
  <c r="R15" i="28" s="1"/>
  <c r="Q18" i="28"/>
  <c r="F19" i="28"/>
  <c r="D19" i="28" s="1"/>
  <c r="R19" i="28" s="1"/>
  <c r="Q22" i="28"/>
  <c r="W16" i="28"/>
  <c r="Q8" i="28"/>
  <c r="Q11" i="28"/>
  <c r="Q9" i="28"/>
  <c r="T8" i="28"/>
  <c r="X8" i="28" s="1"/>
  <c r="T11" i="28"/>
  <c r="X11" i="28" s="1"/>
  <c r="Q3" i="28"/>
  <c r="F7" i="28"/>
  <c r="D7" i="28" s="1"/>
  <c r="R7" i="28" s="1"/>
  <c r="F10" i="28"/>
  <c r="D10" i="28" s="1"/>
  <c r="R10" i="28" s="1"/>
  <c r="Q13" i="28"/>
  <c r="T3" i="28"/>
  <c r="X3" i="28" s="1"/>
  <c r="T9" i="28"/>
  <c r="X9" i="28" s="1"/>
  <c r="P19" i="28"/>
  <c r="V3" i="28"/>
  <c r="V9" i="28"/>
  <c r="T13" i="28"/>
  <c r="Q19" i="28"/>
  <c r="C28" i="25"/>
  <c r="D28" i="25" s="1"/>
  <c r="C18" i="25"/>
  <c r="D18" i="25" s="1"/>
  <c r="S2" i="25"/>
  <c r="D11" i="25"/>
  <c r="D8" i="25"/>
  <c r="T2" i="25"/>
  <c r="F2" i="25"/>
  <c r="U20" i="28" l="1"/>
  <c r="U6" i="28"/>
  <c r="U15" i="28"/>
  <c r="U12" i="28"/>
  <c r="U18" i="28"/>
  <c r="U16" i="28"/>
  <c r="U21" i="28"/>
  <c r="U2" i="28"/>
  <c r="U17" i="28"/>
  <c r="U22" i="28"/>
  <c r="U19" i="28"/>
  <c r="U9" i="28"/>
  <c r="U14" i="28"/>
  <c r="U5" i="28"/>
  <c r="X13" i="28"/>
  <c r="U13" i="28"/>
  <c r="W10" i="28"/>
  <c r="U10" i="28"/>
  <c r="U8" i="28"/>
  <c r="W7" i="28"/>
  <c r="U7" i="28"/>
  <c r="U3" i="28"/>
  <c r="U11" i="28"/>
  <c r="U4" i="28"/>
  <c r="D2" i="25"/>
  <c r="R2" i="25" s="1"/>
  <c r="M3" i="1" l="1"/>
  <c r="M2" i="1"/>
  <c r="M38" i="1" l="1"/>
  <c r="L38" i="1"/>
  <c r="K38" i="1"/>
  <c r="S38" i="1" s="1"/>
  <c r="M37" i="1"/>
  <c r="L37" i="1"/>
  <c r="K37" i="1"/>
  <c r="S37" i="1" s="1"/>
  <c r="M36" i="1"/>
  <c r="L36" i="1"/>
  <c r="K36" i="1"/>
  <c r="O10" i="1"/>
  <c r="M10" i="1"/>
  <c r="L10" i="1"/>
  <c r="K10" i="1"/>
  <c r="S10" i="1" s="1"/>
  <c r="C10" i="1"/>
  <c r="O7" i="1"/>
  <c r="M7" i="1"/>
  <c r="L7" i="1"/>
  <c r="K7" i="1"/>
  <c r="C7" i="1"/>
  <c r="O15" i="1"/>
  <c r="M15" i="1"/>
  <c r="L15" i="1"/>
  <c r="K15" i="1"/>
  <c r="O14" i="1"/>
  <c r="M14" i="1"/>
  <c r="L14" i="1"/>
  <c r="K14" i="1"/>
  <c r="O13" i="1"/>
  <c r="M13" i="1"/>
  <c r="L13" i="1"/>
  <c r="K13" i="1"/>
  <c r="O12" i="1"/>
  <c r="M12" i="1"/>
  <c r="L12" i="1"/>
  <c r="K12" i="1"/>
  <c r="O11" i="1"/>
  <c r="M11" i="1"/>
  <c r="L11" i="1"/>
  <c r="K11" i="1"/>
  <c r="O9" i="1"/>
  <c r="M9" i="1"/>
  <c r="L9" i="1"/>
  <c r="K9" i="1"/>
  <c r="O8" i="1"/>
  <c r="M8" i="1"/>
  <c r="L8" i="1"/>
  <c r="K8" i="1"/>
  <c r="O6" i="1"/>
  <c r="M6" i="1"/>
  <c r="L6" i="1"/>
  <c r="K6" i="1"/>
  <c r="O5" i="1"/>
  <c r="M5" i="1"/>
  <c r="L5" i="1"/>
  <c r="K5" i="1"/>
  <c r="O4" i="1"/>
  <c r="M4" i="1"/>
  <c r="L4" i="1"/>
  <c r="K4" i="1"/>
  <c r="O3" i="1"/>
  <c r="L3" i="1"/>
  <c r="K3" i="1"/>
  <c r="O2" i="1"/>
  <c r="L2" i="1"/>
  <c r="K2" i="1"/>
  <c r="S2" i="1" s="1"/>
  <c r="C2" i="1"/>
  <c r="C38" i="1"/>
  <c r="V38" i="1" s="1"/>
  <c r="C37" i="1"/>
  <c r="V37" i="1" s="1"/>
  <c r="C36" i="1"/>
  <c r="C15" i="1"/>
  <c r="V15" i="1" s="1"/>
  <c r="C14" i="1"/>
  <c r="V14" i="1" s="1"/>
  <c r="C13" i="1"/>
  <c r="V13" i="1" s="1"/>
  <c r="C12" i="1"/>
  <c r="V12" i="1" s="1"/>
  <c r="C11" i="1"/>
  <c r="V11" i="1" s="1"/>
  <c r="C9" i="1"/>
  <c r="V9" i="1" s="1"/>
  <c r="C8" i="1"/>
  <c r="V8" i="1" s="1"/>
  <c r="C6" i="1"/>
  <c r="V6" i="1" s="1"/>
  <c r="C5" i="1"/>
  <c r="V5" i="1" s="1"/>
  <c r="C4" i="1"/>
  <c r="V4" i="1" s="1"/>
  <c r="V3" i="1"/>
  <c r="M24" i="1"/>
  <c r="M39" i="1"/>
  <c r="C17" i="1"/>
  <c r="V17" i="1" s="1"/>
  <c r="C18" i="1"/>
  <c r="V18" i="1" s="1"/>
  <c r="C19" i="1"/>
  <c r="V19" i="1" s="1"/>
  <c r="C20" i="1"/>
  <c r="V20" i="1" s="1"/>
  <c r="C21" i="1"/>
  <c r="V21" i="1" s="1"/>
  <c r="C22" i="1"/>
  <c r="V22" i="1" s="1"/>
  <c r="C23" i="1"/>
  <c r="V23" i="1" s="1"/>
  <c r="C24" i="1"/>
  <c r="V24" i="1" s="1"/>
  <c r="C25" i="1"/>
  <c r="V25" i="1" s="1"/>
  <c r="C26" i="1"/>
  <c r="V26" i="1" s="1"/>
  <c r="C27" i="1"/>
  <c r="V27" i="1" s="1"/>
  <c r="C28" i="1"/>
  <c r="V28" i="1" s="1"/>
  <c r="C29" i="1"/>
  <c r="V29" i="1" s="1"/>
  <c r="C30" i="1"/>
  <c r="V30" i="1" s="1"/>
  <c r="C31" i="1"/>
  <c r="V31" i="1" s="1"/>
  <c r="C32" i="1"/>
  <c r="V32" i="1" s="1"/>
  <c r="C33" i="1"/>
  <c r="V33" i="1" s="1"/>
  <c r="C34" i="1"/>
  <c r="V34" i="1" s="1"/>
  <c r="C35" i="1"/>
  <c r="V35" i="1" s="1"/>
  <c r="C39" i="1"/>
  <c r="V39" i="1" s="1"/>
  <c r="C40" i="1"/>
  <c r="V40" i="1" s="1"/>
  <c r="C41" i="1"/>
  <c r="V41" i="1" s="1"/>
  <c r="C42" i="1"/>
  <c r="V42" i="1" s="1"/>
  <c r="C43" i="1"/>
  <c r="V43" i="1" s="1"/>
  <c r="C44" i="1"/>
  <c r="V44" i="1" s="1"/>
  <c r="C45" i="1"/>
  <c r="V45" i="1" s="1"/>
  <c r="C46" i="1"/>
  <c r="V46" i="1" s="1"/>
  <c r="C47" i="1"/>
  <c r="V47" i="1" s="1"/>
  <c r="C48" i="1"/>
  <c r="V48" i="1" s="1"/>
  <c r="C49" i="1"/>
  <c r="V49" i="1" s="1"/>
  <c r="C50" i="1"/>
  <c r="V50" i="1" s="1"/>
  <c r="C51" i="1"/>
  <c r="V51" i="1" s="1"/>
  <c r="C52" i="1"/>
  <c r="V52" i="1" s="1"/>
  <c r="C53" i="1"/>
  <c r="V53" i="1" s="1"/>
  <c r="C54" i="1"/>
  <c r="V54" i="1" s="1"/>
  <c r="C55" i="1"/>
  <c r="V55" i="1" s="1"/>
  <c r="C56" i="1"/>
  <c r="V56" i="1" s="1"/>
  <c r="C57" i="1"/>
  <c r="V57" i="1" s="1"/>
  <c r="C58" i="1"/>
  <c r="V58" i="1" s="1"/>
  <c r="C16" i="1"/>
  <c r="V16" i="1" s="1"/>
  <c r="T10" i="1" l="1"/>
  <c r="U10" i="1" s="1"/>
  <c r="V10" i="1"/>
  <c r="P10" i="1"/>
  <c r="T7" i="1"/>
  <c r="V7" i="1"/>
  <c r="Q2" i="1"/>
  <c r="Q36" i="1"/>
  <c r="V36" i="1"/>
  <c r="F53" i="1"/>
  <c r="D53" i="1" s="1"/>
  <c r="F26" i="1"/>
  <c r="D26" i="1" s="1"/>
  <c r="F8" i="1"/>
  <c r="D8" i="1" s="1"/>
  <c r="R8" i="1" s="1"/>
  <c r="T8" i="1"/>
  <c r="F43" i="1"/>
  <c r="D43" i="1" s="1"/>
  <c r="F45" i="1"/>
  <c r="D45" i="1" s="1"/>
  <c r="F44" i="1"/>
  <c r="D44" i="1" s="1"/>
  <c r="F25" i="1"/>
  <c r="D25" i="1" s="1"/>
  <c r="F9" i="1"/>
  <c r="D9" i="1" s="1"/>
  <c r="R9" i="1" s="1"/>
  <c r="T9" i="1"/>
  <c r="P4" i="1"/>
  <c r="S4" i="1"/>
  <c r="P9" i="1"/>
  <c r="S9" i="1"/>
  <c r="U9" i="1" s="1"/>
  <c r="P14" i="1"/>
  <c r="S14" i="1"/>
  <c r="F11" i="1"/>
  <c r="D11" i="1" s="1"/>
  <c r="R11" i="1" s="1"/>
  <c r="T11" i="1"/>
  <c r="Q4" i="1"/>
  <c r="F12" i="1"/>
  <c r="D12" i="1" s="1"/>
  <c r="T12" i="1"/>
  <c r="F23" i="1"/>
  <c r="D23" i="1" s="1"/>
  <c r="F57" i="1"/>
  <c r="D57" i="1" s="1"/>
  <c r="F41" i="1"/>
  <c r="D41" i="1" s="1"/>
  <c r="F22" i="1"/>
  <c r="D22" i="1" s="1"/>
  <c r="F13" i="1"/>
  <c r="D13" i="1" s="1"/>
  <c r="T13" i="1"/>
  <c r="P36" i="1"/>
  <c r="S36" i="1"/>
  <c r="F58" i="1"/>
  <c r="D58" i="1" s="1"/>
  <c r="F56" i="1"/>
  <c r="D56" i="1" s="1"/>
  <c r="F40" i="1"/>
  <c r="D40" i="1" s="1"/>
  <c r="F21" i="1"/>
  <c r="D21" i="1" s="1"/>
  <c r="F14" i="1"/>
  <c r="D14" i="1" s="1"/>
  <c r="R14" i="1" s="1"/>
  <c r="T14" i="1"/>
  <c r="P5" i="1"/>
  <c r="S5" i="1"/>
  <c r="P11" i="1"/>
  <c r="S11" i="1"/>
  <c r="P15" i="1"/>
  <c r="S15" i="1"/>
  <c r="F24" i="1"/>
  <c r="D24" i="1" s="1"/>
  <c r="F55" i="1"/>
  <c r="D55" i="1" s="1"/>
  <c r="F39" i="1"/>
  <c r="D39" i="1" s="1"/>
  <c r="F20" i="1"/>
  <c r="D20" i="1" s="1"/>
  <c r="F15" i="1"/>
  <c r="D15" i="1" s="1"/>
  <c r="R15" i="1" s="1"/>
  <c r="T15" i="1"/>
  <c r="Q15" i="1"/>
  <c r="F42" i="1"/>
  <c r="D42" i="1" s="1"/>
  <c r="F54" i="1"/>
  <c r="D54" i="1" s="1"/>
  <c r="F35" i="1"/>
  <c r="D35" i="1" s="1"/>
  <c r="F19" i="1"/>
  <c r="D19" i="1" s="1"/>
  <c r="F36" i="1"/>
  <c r="D36" i="1" s="1"/>
  <c r="T36" i="1"/>
  <c r="F37" i="1"/>
  <c r="D37" i="1" s="1"/>
  <c r="R37" i="1" s="1"/>
  <c r="T37" i="1"/>
  <c r="U37" i="1" s="1"/>
  <c r="P37" i="1"/>
  <c r="F34" i="1"/>
  <c r="D34" i="1" s="1"/>
  <c r="F33" i="1"/>
  <c r="D33" i="1" s="1"/>
  <c r="F38" i="1"/>
  <c r="D38" i="1" s="1"/>
  <c r="R38" i="1" s="1"/>
  <c r="T38" i="1"/>
  <c r="U38" i="1" s="1"/>
  <c r="P6" i="1"/>
  <c r="S6" i="1"/>
  <c r="P12" i="1"/>
  <c r="S12" i="1"/>
  <c r="U12" i="1" s="1"/>
  <c r="F16" i="1"/>
  <c r="D16" i="1" s="1"/>
  <c r="F52" i="1"/>
  <c r="D52" i="1" s="1"/>
  <c r="F51" i="1"/>
  <c r="D51" i="1" s="1"/>
  <c r="F32" i="1"/>
  <c r="D32" i="1" s="1"/>
  <c r="T2" i="1"/>
  <c r="P7" i="1"/>
  <c r="S7" i="1"/>
  <c r="U7" i="1" s="1"/>
  <c r="F18" i="1"/>
  <c r="D18" i="1" s="1"/>
  <c r="F17" i="1"/>
  <c r="D17" i="1" s="1"/>
  <c r="F50" i="1"/>
  <c r="D50" i="1" s="1"/>
  <c r="F31" i="1"/>
  <c r="D31" i="1" s="1"/>
  <c r="F3" i="1"/>
  <c r="D3" i="1" s="1"/>
  <c r="R3" i="1" s="1"/>
  <c r="T3" i="1"/>
  <c r="X3" i="1" s="1"/>
  <c r="P38" i="1"/>
  <c r="F49" i="1"/>
  <c r="D49" i="1" s="1"/>
  <c r="F30" i="1"/>
  <c r="D30" i="1" s="1"/>
  <c r="F48" i="1"/>
  <c r="D48" i="1" s="1"/>
  <c r="F29" i="1"/>
  <c r="D29" i="1" s="1"/>
  <c r="F4" i="1"/>
  <c r="D4" i="1" s="1"/>
  <c r="R4" i="1" s="1"/>
  <c r="T4" i="1"/>
  <c r="P8" i="1"/>
  <c r="S8" i="1"/>
  <c r="P13" i="1"/>
  <c r="S13" i="1"/>
  <c r="F28" i="1"/>
  <c r="D28" i="1" s="1"/>
  <c r="F5" i="1"/>
  <c r="D5" i="1" s="1"/>
  <c r="R5" i="1" s="1"/>
  <c r="T5" i="1"/>
  <c r="P3" i="1"/>
  <c r="S3" i="1"/>
  <c r="F47" i="1"/>
  <c r="D47" i="1" s="1"/>
  <c r="F46" i="1"/>
  <c r="D46" i="1" s="1"/>
  <c r="F27" i="1"/>
  <c r="D27" i="1" s="1"/>
  <c r="F6" i="1"/>
  <c r="D6" i="1" s="1"/>
  <c r="R6" i="1" s="1"/>
  <c r="T6" i="1"/>
  <c r="R36" i="1"/>
  <c r="Q37" i="1"/>
  <c r="Q38" i="1"/>
  <c r="Q10" i="1"/>
  <c r="F10" i="1"/>
  <c r="D10" i="1" s="1"/>
  <c r="R10" i="1" s="1"/>
  <c r="Q5" i="1"/>
  <c r="Q7" i="1"/>
  <c r="Q3" i="1"/>
  <c r="F7" i="1"/>
  <c r="D7" i="1" s="1"/>
  <c r="R7" i="1" s="1"/>
  <c r="Q13" i="1"/>
  <c r="R13" i="1"/>
  <c r="Q9" i="1"/>
  <c r="Q11" i="1"/>
  <c r="Q6" i="1"/>
  <c r="Q14" i="1"/>
  <c r="Q8" i="1"/>
  <c r="R12" i="1"/>
  <c r="Q12" i="1"/>
  <c r="F2" i="1"/>
  <c r="D2" i="1" s="1"/>
  <c r="R39" i="1"/>
  <c r="R24" i="1"/>
  <c r="U3" i="1" l="1"/>
  <c r="W3" i="1"/>
  <c r="U6" i="1"/>
  <c r="U36" i="1"/>
  <c r="U8" i="1"/>
  <c r="U14" i="1"/>
  <c r="U4" i="1"/>
  <c r="U13" i="1"/>
  <c r="U15" i="1"/>
  <c r="U11" i="1"/>
  <c r="U5" i="1"/>
  <c r="O16" i="1"/>
  <c r="M17" i="1"/>
  <c r="R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M50" i="1"/>
  <c r="R50" i="1" s="1"/>
  <c r="M51" i="1"/>
  <c r="R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16" i="1"/>
  <c r="R16" i="1" s="1"/>
  <c r="L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9" i="1"/>
  <c r="O39" i="1"/>
  <c r="L40" i="1"/>
  <c r="O40" i="1"/>
  <c r="L41" i="1"/>
  <c r="O41" i="1"/>
  <c r="L42" i="1"/>
  <c r="O42" i="1"/>
  <c r="L43" i="1"/>
  <c r="O43" i="1"/>
  <c r="L44" i="1"/>
  <c r="O44" i="1"/>
  <c r="L45" i="1"/>
  <c r="O45" i="1"/>
  <c r="L46" i="1"/>
  <c r="O46" i="1"/>
  <c r="L47" i="1"/>
  <c r="O47" i="1"/>
  <c r="L48" i="1"/>
  <c r="O48" i="1"/>
  <c r="L49" i="1"/>
  <c r="O49" i="1"/>
  <c r="L50" i="1"/>
  <c r="O50" i="1"/>
  <c r="L51" i="1"/>
  <c r="O51" i="1"/>
  <c r="L52" i="1"/>
  <c r="O52" i="1"/>
  <c r="L53" i="1"/>
  <c r="O53" i="1"/>
  <c r="L54" i="1"/>
  <c r="O54" i="1"/>
  <c r="L55" i="1"/>
  <c r="O55" i="1"/>
  <c r="L56" i="1"/>
  <c r="O56" i="1"/>
  <c r="L57" i="1"/>
  <c r="O57" i="1"/>
  <c r="L58" i="1"/>
  <c r="O58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16" i="1"/>
  <c r="P45" i="1" l="1"/>
  <c r="S45" i="1"/>
  <c r="P26" i="1"/>
  <c r="S26" i="1"/>
  <c r="P44" i="1"/>
  <c r="S44" i="1"/>
  <c r="U44" i="1" s="1"/>
  <c r="P25" i="1"/>
  <c r="S25" i="1"/>
  <c r="Q55" i="1"/>
  <c r="T55" i="1"/>
  <c r="Q47" i="1"/>
  <c r="T47" i="1"/>
  <c r="Q39" i="1"/>
  <c r="T39" i="1"/>
  <c r="Q28" i="1"/>
  <c r="T28" i="1"/>
  <c r="Q20" i="1"/>
  <c r="T20" i="1"/>
  <c r="P42" i="1"/>
  <c r="S42" i="1"/>
  <c r="Q35" i="1"/>
  <c r="T35" i="1"/>
  <c r="P57" i="1"/>
  <c r="S57" i="1"/>
  <c r="U57" i="1" s="1"/>
  <c r="P41" i="1"/>
  <c r="S41" i="1"/>
  <c r="U41" i="1" s="1"/>
  <c r="P22" i="1"/>
  <c r="S22" i="1"/>
  <c r="Q46" i="1"/>
  <c r="T46" i="1"/>
  <c r="P56" i="1"/>
  <c r="S56" i="1"/>
  <c r="U56" i="1" s="1"/>
  <c r="P40" i="1"/>
  <c r="S40" i="1"/>
  <c r="P21" i="1"/>
  <c r="S21" i="1"/>
  <c r="Q53" i="1"/>
  <c r="T53" i="1"/>
  <c r="Q45" i="1"/>
  <c r="T45" i="1"/>
  <c r="Q34" i="1"/>
  <c r="T34" i="1"/>
  <c r="Q26" i="1"/>
  <c r="T26" i="1"/>
  <c r="Q18" i="1"/>
  <c r="T18" i="1"/>
  <c r="P16" i="1"/>
  <c r="S16" i="1"/>
  <c r="U16" i="1" s="1"/>
  <c r="Q27" i="1"/>
  <c r="T27" i="1"/>
  <c r="P39" i="1"/>
  <c r="S39" i="1"/>
  <c r="P58" i="1"/>
  <c r="S58" i="1"/>
  <c r="U58" i="1" s="1"/>
  <c r="P20" i="1"/>
  <c r="S20" i="1"/>
  <c r="U20" i="1" s="1"/>
  <c r="P54" i="1"/>
  <c r="S54" i="1"/>
  <c r="U54" i="1" s="1"/>
  <c r="P35" i="1"/>
  <c r="S35" i="1"/>
  <c r="U35" i="1" s="1"/>
  <c r="P19" i="1"/>
  <c r="S19" i="1"/>
  <c r="U19" i="1" s="1"/>
  <c r="Q52" i="1"/>
  <c r="T52" i="1"/>
  <c r="Q44" i="1"/>
  <c r="T44" i="1"/>
  <c r="Q33" i="1"/>
  <c r="T33" i="1"/>
  <c r="Q25" i="1"/>
  <c r="T25" i="1"/>
  <c r="Q17" i="1"/>
  <c r="T17" i="1"/>
  <c r="P23" i="1"/>
  <c r="S23" i="1"/>
  <c r="P53" i="1"/>
  <c r="S53" i="1"/>
  <c r="U53" i="1" s="1"/>
  <c r="P34" i="1"/>
  <c r="S34" i="1"/>
  <c r="U34" i="1" s="1"/>
  <c r="P18" i="1"/>
  <c r="S18" i="1"/>
  <c r="U18" i="1" s="1"/>
  <c r="Q16" i="1"/>
  <c r="T16" i="1"/>
  <c r="Q54" i="1"/>
  <c r="T54" i="1"/>
  <c r="Q19" i="1"/>
  <c r="T19" i="1"/>
  <c r="P55" i="1"/>
  <c r="S55" i="1"/>
  <c r="P52" i="1"/>
  <c r="S52" i="1"/>
  <c r="P33" i="1"/>
  <c r="S33" i="1"/>
  <c r="U33" i="1" s="1"/>
  <c r="P17" i="1"/>
  <c r="S17" i="1"/>
  <c r="U17" i="1" s="1"/>
  <c r="Q51" i="1"/>
  <c r="T51" i="1"/>
  <c r="Q43" i="1"/>
  <c r="T43" i="1"/>
  <c r="Q32" i="1"/>
  <c r="T32" i="1"/>
  <c r="Q24" i="1"/>
  <c r="T24" i="1"/>
  <c r="P43" i="1"/>
  <c r="S43" i="1"/>
  <c r="U43" i="1" s="1"/>
  <c r="P51" i="1"/>
  <c r="S51" i="1"/>
  <c r="P32" i="1"/>
  <c r="S32" i="1"/>
  <c r="U32" i="1" s="1"/>
  <c r="P50" i="1"/>
  <c r="S50" i="1"/>
  <c r="U50" i="1" s="1"/>
  <c r="P31" i="1"/>
  <c r="S31" i="1"/>
  <c r="U31" i="1" s="1"/>
  <c r="Q58" i="1"/>
  <c r="T58" i="1"/>
  <c r="Q50" i="1"/>
  <c r="T50" i="1"/>
  <c r="Q42" i="1"/>
  <c r="T42" i="1"/>
  <c r="Q31" i="1"/>
  <c r="T31" i="1"/>
  <c r="Q23" i="1"/>
  <c r="T23" i="1"/>
  <c r="P24" i="1"/>
  <c r="S24" i="1"/>
  <c r="U24" i="1" s="1"/>
  <c r="P30" i="1"/>
  <c r="S30" i="1"/>
  <c r="U30" i="1" s="1"/>
  <c r="P48" i="1"/>
  <c r="S48" i="1"/>
  <c r="U48" i="1" s="1"/>
  <c r="P29" i="1"/>
  <c r="S29" i="1"/>
  <c r="Q57" i="1"/>
  <c r="T57" i="1"/>
  <c r="Q49" i="1"/>
  <c r="T49" i="1"/>
  <c r="Q41" i="1"/>
  <c r="T41" i="1"/>
  <c r="Q30" i="1"/>
  <c r="T30" i="1"/>
  <c r="Q22" i="1"/>
  <c r="T22" i="1"/>
  <c r="P47" i="1"/>
  <c r="S47" i="1"/>
  <c r="U47" i="1" s="1"/>
  <c r="P28" i="1"/>
  <c r="S28" i="1"/>
  <c r="U28" i="1" s="1"/>
  <c r="P49" i="1"/>
  <c r="S49" i="1"/>
  <c r="P46" i="1"/>
  <c r="S46" i="1"/>
  <c r="P27" i="1"/>
  <c r="S27" i="1"/>
  <c r="U27" i="1" s="1"/>
  <c r="Q56" i="1"/>
  <c r="T56" i="1"/>
  <c r="Q48" i="1"/>
  <c r="T48" i="1"/>
  <c r="Q40" i="1"/>
  <c r="T40" i="1"/>
  <c r="Q29" i="1"/>
  <c r="T29" i="1"/>
  <c r="Q21" i="1"/>
  <c r="T21" i="1"/>
  <c r="U25" i="1" l="1"/>
  <c r="U22" i="1"/>
  <c r="U23" i="1"/>
  <c r="U51" i="1"/>
  <c r="U55" i="1"/>
  <c r="U46" i="1"/>
  <c r="U26" i="1"/>
  <c r="U39" i="1"/>
  <c r="U52" i="1"/>
  <c r="U21" i="1"/>
  <c r="U49" i="1"/>
  <c r="U29" i="1"/>
  <c r="U40" i="1"/>
  <c r="U45" i="1"/>
  <c r="U42" i="1"/>
</calcChain>
</file>

<file path=xl/sharedStrings.xml><?xml version="1.0" encoding="utf-8"?>
<sst xmlns="http://schemas.openxmlformats.org/spreadsheetml/2006/main" count="276" uniqueCount="65">
  <si>
    <t>DIP_s2(px)</t>
    <phoneticPr fontId="1" type="noConversion"/>
  </si>
  <si>
    <t>DIP_s3(px)</t>
    <phoneticPr fontId="1" type="noConversion"/>
  </si>
  <si>
    <t>DIP_s1(px)</t>
    <phoneticPr fontId="1" type="noConversion"/>
  </si>
  <si>
    <t>DIP_s2(mm)</t>
    <phoneticPr fontId="1" type="noConversion"/>
  </si>
  <si>
    <t>DIP_s3(mm)</t>
    <phoneticPr fontId="1" type="noConversion"/>
  </si>
  <si>
    <t>DIP_a3(deg)</t>
  </si>
  <si>
    <t>DIP_a3(deg)</t>
    <phoneticPr fontId="1" type="noConversion"/>
  </si>
  <si>
    <t>DIP_s1(mm)</t>
    <phoneticPr fontId="1" type="noConversion"/>
  </si>
  <si>
    <t>Design_s1(mm)</t>
  </si>
  <si>
    <t>Design_s1(mm)</t>
    <phoneticPr fontId="1" type="noConversion"/>
  </si>
  <si>
    <t>Design_s2(mm)</t>
  </si>
  <si>
    <t>Design_s2(mm)</t>
    <phoneticPr fontId="1" type="noConversion"/>
  </si>
  <si>
    <t>Design_a1(deg)</t>
  </si>
  <si>
    <t>Design_a1(deg)</t>
    <phoneticPr fontId="1" type="noConversion"/>
  </si>
  <si>
    <t>Design_s3(mm)</t>
  </si>
  <si>
    <t>Design_s3(mm)</t>
    <phoneticPr fontId="1" type="noConversion"/>
  </si>
  <si>
    <t>delta_s1</t>
    <phoneticPr fontId="1" type="noConversion"/>
  </si>
  <si>
    <t>delta_s2</t>
  </si>
  <si>
    <t>delta_s2</t>
    <phoneticPr fontId="1" type="noConversion"/>
  </si>
  <si>
    <t>delta_s3</t>
    <phoneticPr fontId="1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</si>
  <si>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</si>
  <si>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</si>
  <si>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</si>
  <si>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</si>
  <si>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</si>
  <si>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</si>
  <si>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</si>
  <si>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</si>
  <si>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</si>
  <si>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</si>
  <si>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</si>
  <si>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</si>
  <si>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</si>
  <si>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</si>
  <si>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</si>
  <si>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</si>
  <si>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</si>
  <si>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</si>
  <si>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</si>
  <si>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</si>
  <si>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</si>
  <si>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</si>
  <si>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</si>
  <si>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</si>
  <si>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Design_a2(deg)</t>
  </si>
  <si>
    <t>Design_a2(deg)</t>
    <phoneticPr fontId="1" type="noConversion"/>
  </si>
  <si>
    <t>Design_a3(deg)</t>
  </si>
  <si>
    <t>Design_a3(deg)</t>
    <phoneticPr fontId="1" type="noConversion"/>
  </si>
  <si>
    <t>delta_a3</t>
    <phoneticPr fontId="1" type="noConversion"/>
  </si>
  <si>
    <t>殘差輸出</t>
  </si>
  <si>
    <t>觀察值</t>
  </si>
  <si>
    <t>機率輸出</t>
  </si>
  <si>
    <t>百分比</t>
  </si>
  <si>
    <t>預測為 DIP_a3(deg)</t>
  </si>
  <si>
    <t>預測為 delta_s2</t>
  </si>
  <si>
    <t>標準化殘差</t>
  </si>
  <si>
    <t>預測為 delta_s3</t>
  </si>
  <si>
    <t>delta_s3</t>
  </si>
  <si>
    <t>Design_s2 -DIP_s2</t>
  </si>
  <si>
    <t>Design_s2 -DIP_s2</t>
    <phoneticPr fontId="1" type="noConversion"/>
  </si>
  <si>
    <t>Design_s3 -DIP_s3</t>
    <phoneticPr fontId="1" type="noConversion"/>
  </si>
  <si>
    <t>預測為 Design_s2 -DIP_s2</t>
  </si>
  <si>
    <t>predict det_s2</t>
    <phoneticPr fontId="1" type="noConversion"/>
  </si>
  <si>
    <t>predict det_s3</t>
    <phoneticPr fontId="1" type="noConversion"/>
  </si>
  <si>
    <t>predict 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</si>
</sst>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_ "/>
    <numFmt numFmtId="179" formatCode="0.0000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</font>
    <font>
      <sz val="11"/>
      <name val="新細明體"/>
      <family val="1"/>
    </font>
    <font>
      <sz val="11"/>
      <color theme="1"/>
      <name val="新細明體"/>
      <family val="1"/>
      <scheme val="minor"/>
    </font>
    <font>
      <b/>
      <sz val="11"/>
      <color theme="1"/>
      <name val="新細明體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177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2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177" fontId="4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177" fontId="4" fillId="2" borderId="5" xfId="0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/>
    </xf>
    <xf numFmtId="179" fontId="0" fillId="0" borderId="0" xfId="0" applyNumberFormat="1"/>
    <xf numFmtId="179" fontId="0" fillId="0" borderId="2" xfId="0" applyNumberFormat="1" applyBorder="1"/>
    <xf numFmtId="2" fontId="0" fillId="0" borderId="0" xfId="0" applyNumberFormat="1"/>
    <xf numFmtId="0" fontId="3" fillId="0" borderId="0" xfId="0" applyFont="1" applyAlignment="1">
      <alignment horizontal="center" vertical="top"/>
    </xf>
    <xf numFmtId="2" fontId="5" fillId="0" borderId="0" xfId="0" applyNumberFormat="1" applyFont="1"/>
    <xf numFmtId="177" fontId="5" fillId="0" borderId="5" xfId="0" applyNumberFormat="1" applyFont="1" applyBorder="1" applyAlignment="1">
      <alignment horizontal="center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-23.665051177078006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D-4100-9808-9CCA4BEE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-23.665051177078006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3-431E-B28B-D3DB6B7D9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Sheet1!$C$2:$C$22</c:f>
              <c:numCache>
                <c:formatCode>0.00</c:formatCode>
                <c:ptCount val="21"/>
                <c:pt idx="0">
                  <c:v>0.51961524227066314</c:v>
                </c:pt>
                <c:pt idx="1">
                  <c:v>0.79372539331937708</c:v>
                </c:pt>
                <c:pt idx="2">
                  <c:v>0.94868329805051377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0.31058285412302489</c:v>
                </c:pt>
                <c:pt idx="7">
                  <c:v>0.6</c:v>
                </c:pt>
                <c:pt idx="8">
                  <c:v>0.84852813742385702</c:v>
                </c:pt>
                <c:pt idx="9">
                  <c:v>0.48445078585219159</c:v>
                </c:pt>
                <c:pt idx="10">
                  <c:v>0.79372539331937708</c:v>
                </c:pt>
                <c:pt idx="11">
                  <c:v>1.0816653826391966</c:v>
                </c:pt>
                <c:pt idx="12">
                  <c:v>0.65753044184767828</c:v>
                </c:pt>
                <c:pt idx="13">
                  <c:v>0.79372539331937708</c:v>
                </c:pt>
                <c:pt idx="14">
                  <c:v>0.94868329805051377</c:v>
                </c:pt>
                <c:pt idx="15">
                  <c:v>0.48445078585219159</c:v>
                </c:pt>
                <c:pt idx="16">
                  <c:v>0.79372539331937708</c:v>
                </c:pt>
                <c:pt idx="17">
                  <c:v>1.0816653826391966</c:v>
                </c:pt>
                <c:pt idx="18">
                  <c:v>0.46587428118453739</c:v>
                </c:pt>
                <c:pt idx="19">
                  <c:v>0.89999999999999991</c:v>
                </c:pt>
                <c:pt idx="20">
                  <c:v>1.2727922061357855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-23.665051177078006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4-4129-AF5F-3A8877F4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Sheet1!$P$2:$P$22</c:f>
              <c:numCache>
                <c:formatCode>0.00_ </c:formatCode>
                <c:ptCount val="21"/>
                <c:pt idx="0">
                  <c:v>0.53050595238095233</c:v>
                </c:pt>
                <c:pt idx="1">
                  <c:v>0.59960317460317469</c:v>
                </c:pt>
                <c:pt idx="2">
                  <c:v>0.60019841269841268</c:v>
                </c:pt>
                <c:pt idx="3">
                  <c:v>0.10089285714285727</c:v>
                </c:pt>
                <c:pt idx="4">
                  <c:v>0.13958333333333334</c:v>
                </c:pt>
                <c:pt idx="5">
                  <c:v>0.25446428571428575</c:v>
                </c:pt>
                <c:pt idx="6">
                  <c:v>0.19491772976184968</c:v>
                </c:pt>
                <c:pt idx="7">
                  <c:v>0.28977146430933753</c:v>
                </c:pt>
                <c:pt idx="8">
                  <c:v>0.26812192548804736</c:v>
                </c:pt>
                <c:pt idx="9">
                  <c:v>0.314505092620603</c:v>
                </c:pt>
                <c:pt idx="10">
                  <c:v>0.26711080912957191</c:v>
                </c:pt>
                <c:pt idx="11">
                  <c:v>0.26213411700169947</c:v>
                </c:pt>
                <c:pt idx="12">
                  <c:v>8.9285714285714343E-2</c:v>
                </c:pt>
                <c:pt idx="13">
                  <c:v>6.1607142857142971E-2</c:v>
                </c:pt>
                <c:pt idx="14">
                  <c:v>0.18005952380952384</c:v>
                </c:pt>
                <c:pt idx="15">
                  <c:v>9.0051872897541171E-2</c:v>
                </c:pt>
                <c:pt idx="16">
                  <c:v>0.11782391681792589</c:v>
                </c:pt>
                <c:pt idx="17">
                  <c:v>0.16313552957338034</c:v>
                </c:pt>
                <c:pt idx="18">
                  <c:v>0.11700261167891221</c:v>
                </c:pt>
                <c:pt idx="19">
                  <c:v>0.15678170211611872</c:v>
                </c:pt>
                <c:pt idx="20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5-4C3D-B12B-927785367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30-4CE9-8029-74F63E8C9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561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85615"/>
        <c:crosses val="autoZero"/>
        <c:crossBetween val="midCat"/>
      </c:valAx>
      <c:valAx>
        <c:axId val="192268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58-4F11-B54D-BC91BD36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9473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4735"/>
        <c:crosses val="autoZero"/>
        <c:crossBetween val="midCat"/>
      </c:valAx>
      <c:valAx>
        <c:axId val="192269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9B-4C2A-BFA3-6321EDED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465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22684655"/>
        <c:crosses val="autoZero"/>
        <c:crossBetween val="midCat"/>
      </c:valAx>
      <c:valAx>
        <c:axId val="1922684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02-4C19-9C39-AC7292237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967"/>
        <c:axId val="1917388047"/>
      </c:scatterChart>
      <c:valAx>
        <c:axId val="191738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88047"/>
        <c:crosses val="autoZero"/>
        <c:crossBetween val="midCat"/>
      </c:valAx>
      <c:valAx>
        <c:axId val="1917388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9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BF-4972-8B95-438F3A9E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7567"/>
        <c:axId val="1917392847"/>
      </c:scatterChart>
      <c:valAx>
        <c:axId val="191738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92847"/>
        <c:crosses val="autoZero"/>
        <c:crossBetween val="midCat"/>
      </c:valAx>
      <c:valAx>
        <c:axId val="1917392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7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7C-4963-846C-05B7907E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007"/>
        <c:axId val="1917392367"/>
      </c:scatterChart>
      <c:valAx>
        <c:axId val="191738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92367"/>
        <c:crosses val="autoZero"/>
        <c:crossBetween val="midCat"/>
      </c:valAx>
      <c:valAx>
        <c:axId val="1917392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0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6B-42D7-BF86-6012AB132B1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6B-42D7-BF86-6012AB13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3791"/>
        <c:axId val="2074514751"/>
      </c:scatterChart>
      <c:valAx>
        <c:axId val="207451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4751"/>
        <c:crosses val="autoZero"/>
        <c:crossBetween val="midCat"/>
      </c:valAx>
      <c:valAx>
        <c:axId val="2074514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37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FE-4C6F-9E23-11B16950EF37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FE-4C6F-9E23-11B16950E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0911"/>
        <c:axId val="2074511391"/>
      </c:scatterChart>
      <c:valAx>
        <c:axId val="207451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1391"/>
        <c:crosses val="autoZero"/>
        <c:crossBetween val="midCat"/>
      </c:valAx>
      <c:valAx>
        <c:axId val="2074511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09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00-4FD0-8FB2-CC0F9AA3FC20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00-4FD0-8FB2-CC0F9AA3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6671"/>
        <c:axId val="2074509471"/>
      </c:scatterChart>
      <c:valAx>
        <c:axId val="207451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74509471"/>
        <c:crosses val="autoZero"/>
        <c:crossBetween val="midCat"/>
      </c:valAx>
      <c:valAx>
        <c:axId val="2074509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66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42-41A0-A7E3-D77A8CFFA573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42-41A0-A7E3-D77A8CFFA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47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04719"/>
        <c:crosses val="autoZero"/>
        <c:crossBetween val="midCat"/>
      </c:valAx>
      <c:valAx>
        <c:axId val="211660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16-461A-9C64-35E7892FA428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16-461A-9C64-35E7892FA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71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7119"/>
        <c:crosses val="autoZero"/>
        <c:crossBetween val="midCat"/>
      </c:valAx>
      <c:valAx>
        <c:axId val="211660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0-4F2F-A044-2275EBF6E08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0-4F2F-A044-2275EBF6E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9039"/>
        <c:axId val="2116611439"/>
      </c:scatterChart>
      <c:valAx>
        <c:axId val="211660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11439"/>
        <c:crosses val="autoZero"/>
        <c:crossBetween val="midCat"/>
      </c:valAx>
      <c:valAx>
        <c:axId val="2116611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90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'design_s2-dip_s2'!$F$30:$F$86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'design_s2-dip_s2'!$G$30:$G$86</c:f>
              <c:numCache>
                <c:formatCode>General</c:formatCode>
                <c:ptCount val="57"/>
                <c:pt idx="0">
                  <c:v>1.8482142857142891E-2</c:v>
                </c:pt>
                <c:pt idx="1">
                  <c:v>2.6785714285714302E-2</c:v>
                </c:pt>
                <c:pt idx="2">
                  <c:v>3.026785714285718E-2</c:v>
                </c:pt>
                <c:pt idx="3">
                  <c:v>4.1874999999999996E-2</c:v>
                </c:pt>
                <c:pt idx="4">
                  <c:v>5.4017857142857145E-2</c:v>
                </c:pt>
                <c:pt idx="5">
                  <c:v>5.40311237385247E-2</c:v>
                </c:pt>
                <c:pt idx="6">
                  <c:v>5.4047161403691479E-2</c:v>
                </c:pt>
                <c:pt idx="7">
                  <c:v>6.0517042790489528E-2</c:v>
                </c:pt>
                <c:pt idx="8">
                  <c:v>7.0154499248613722E-2</c:v>
                </c:pt>
                <c:pt idx="9">
                  <c:v>7.0694350090755531E-2</c:v>
                </c:pt>
                <c:pt idx="10">
                  <c:v>7.4186936869157116E-2</c:v>
                </c:pt>
                <c:pt idx="11">
                  <c:v>7.4975476845398514E-2</c:v>
                </c:pt>
                <c:pt idx="12">
                  <c:v>7.6339285714285721E-2</c:v>
                </c:pt>
                <c:pt idx="13">
                  <c:v>9.7881317744028196E-2</c:v>
                </c:pt>
                <c:pt idx="14">
                  <c:v>0.10082252669469871</c:v>
                </c:pt>
                <c:pt idx="15">
                  <c:v>0.10530235051102099</c:v>
                </c:pt>
                <c:pt idx="16">
                  <c:v>0.1090700458673366</c:v>
                </c:pt>
                <c:pt idx="17">
                  <c:v>0.10964777778409923</c:v>
                </c:pt>
                <c:pt idx="18">
                  <c:v>0.10972976550696417</c:v>
                </c:pt>
                <c:pt idx="19">
                  <c:v>0.11041440330974572</c:v>
                </c:pt>
                <c:pt idx="20">
                  <c:v>0.11309318628043225</c:v>
                </c:pt>
                <c:pt idx="21">
                  <c:v>0.11602476391212929</c:v>
                </c:pt>
                <c:pt idx="22">
                  <c:v>0.1169506378571098</c:v>
                </c:pt>
                <c:pt idx="23">
                  <c:v>0.11910714285714288</c:v>
                </c:pt>
                <c:pt idx="24">
                  <c:v>0.1193788024274457</c:v>
                </c:pt>
                <c:pt idx="25">
                  <c:v>0.12086182114209332</c:v>
                </c:pt>
                <c:pt idx="26">
                  <c:v>0.12685079544662825</c:v>
                </c:pt>
                <c:pt idx="27">
                  <c:v>0.12822541772204021</c:v>
                </c:pt>
                <c:pt idx="28">
                  <c:v>0.1324107142857143</c:v>
                </c:pt>
                <c:pt idx="29">
                  <c:v>0.13631432555055967</c:v>
                </c:pt>
                <c:pt idx="30">
                  <c:v>0.14110353190450686</c:v>
                </c:pt>
                <c:pt idx="31">
                  <c:v>0.14280903869889638</c:v>
                </c:pt>
                <c:pt idx="32">
                  <c:v>0.15910714285714286</c:v>
                </c:pt>
                <c:pt idx="33">
                  <c:v>0.16087315529282842</c:v>
                </c:pt>
                <c:pt idx="34">
                  <c:v>0.1659238696936447</c:v>
                </c:pt>
                <c:pt idx="35">
                  <c:v>0.17386287858560251</c:v>
                </c:pt>
                <c:pt idx="36">
                  <c:v>0.18360580796211262</c:v>
                </c:pt>
                <c:pt idx="37">
                  <c:v>0.20144051449273404</c:v>
                </c:pt>
                <c:pt idx="38">
                  <c:v>0.20251545984081265</c:v>
                </c:pt>
                <c:pt idx="39">
                  <c:v>0.20750137086615206</c:v>
                </c:pt>
                <c:pt idx="40">
                  <c:v>0.23592070530152953</c:v>
                </c:pt>
                <c:pt idx="41">
                  <c:v>0.24039972821661471</c:v>
                </c:pt>
                <c:pt idx="42">
                  <c:v>0.24655190541633953</c:v>
                </c:pt>
                <c:pt idx="43">
                  <c:v>0.24726668768227311</c:v>
                </c:pt>
                <c:pt idx="44">
                  <c:v>0.26507951543782637</c:v>
                </c:pt>
                <c:pt idx="45">
                  <c:v>0.27180830345426055</c:v>
                </c:pt>
                <c:pt idx="46">
                  <c:v>0.27611798059648396</c:v>
                </c:pt>
                <c:pt idx="47">
                  <c:v>0.28178464889283728</c:v>
                </c:pt>
                <c:pt idx="48">
                  <c:v>0.28305458335854272</c:v>
                </c:pt>
                <c:pt idx="49">
                  <c:v>0.30964285714285716</c:v>
                </c:pt>
                <c:pt idx="50">
                  <c:v>0.31830357142857141</c:v>
                </c:pt>
                <c:pt idx="51">
                  <c:v>0.34232142857142855</c:v>
                </c:pt>
                <c:pt idx="52">
                  <c:v>0.38205357142857144</c:v>
                </c:pt>
                <c:pt idx="53">
                  <c:v>0.53276785714285713</c:v>
                </c:pt>
                <c:pt idx="54">
                  <c:v>0.5396428571428572</c:v>
                </c:pt>
                <c:pt idx="55">
                  <c:v>0.55767857142857147</c:v>
                </c:pt>
                <c:pt idx="56">
                  <c:v>0.63669642857142861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35A-81A6-71798C41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999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9999"/>
        <c:crosses val="autoZero"/>
        <c:crossBetween val="midCat"/>
      </c:valAx>
      <c:valAx>
        <c:axId val="2116609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42-4303-9B80-2F740E67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11071"/>
        <c:axId val="1962711551"/>
      </c:scatterChart>
      <c:valAx>
        <c:axId val="196271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551"/>
        <c:crosses val="autoZero"/>
        <c:crossBetween val="midCat"/>
      </c:valAx>
      <c:valAx>
        <c:axId val="196271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76-4E31-B259-BBBACF26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0383"/>
        <c:axId val="125039903"/>
      </c:scatterChart>
      <c:valAx>
        <c:axId val="12504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039903"/>
        <c:crosses val="autoZero"/>
        <c:crossBetween val="midCat"/>
      </c:valAx>
      <c:valAx>
        <c:axId val="125039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0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79-40BA-99DC-75FDCC17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25038943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038943"/>
        <c:crosses val="autoZero"/>
        <c:crossBetween val="midCat"/>
      </c:valAx>
      <c:valAx>
        <c:axId val="125038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E9-446E-ADAA-ADD6535CB496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E9-446E-ADAA-ADD6535CB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658895"/>
        <c:axId val="1884659855"/>
      </c:scatterChart>
      <c:valAx>
        <c:axId val="188465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4659855"/>
        <c:crosses val="autoZero"/>
        <c:crossBetween val="midCat"/>
      </c:valAx>
      <c:valAx>
        <c:axId val="1884659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84658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56-4836-A017-E4A49C1D2595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56-4836-A017-E4A49C1D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873391"/>
        <c:axId val="1884660335"/>
      </c:scatterChart>
      <c:valAx>
        <c:axId val="206887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84660335"/>
        <c:crosses val="autoZero"/>
        <c:crossBetween val="midCat"/>
      </c:valAx>
      <c:valAx>
        <c:axId val="1884660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688733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97-43A3-849A-BED66205A067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97-43A3-849A-BED66205A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884658415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84658415"/>
        <c:crosses val="autoZero"/>
        <c:crossBetween val="midCat"/>
      </c:valAx>
      <c:valAx>
        <c:axId val="1884658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'det_s2(3params)'!$F$27:$F$83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'det_s2(3params)'!$G$27:$G$83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0-48BD-BE86-7C9E8281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37071"/>
        <c:axId val="150034671"/>
      </c:scatterChart>
      <c:valAx>
        <c:axId val="15003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4671"/>
        <c:crosses val="autoZero"/>
        <c:crossBetween val="midCat"/>
      </c:valAx>
      <c:valAx>
        <c:axId val="150034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7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B-4F82-AF12-8DEFB04A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47A1-BB75-30FE0C1A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0-42EE-A24D-4D5BD0010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444-B684-3A2DAA34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C7-4553-A3D4-4B9655A4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4064"/>
        <c:axId val="720102224"/>
      </c:scatterChart>
      <c:valAx>
        <c:axId val="72009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2224"/>
        <c:crosses val="autoZero"/>
        <c:crossBetween val="midCat"/>
      </c:valAx>
      <c:valAx>
        <c:axId val="720102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4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3A-45D7-B252-CC80E3A3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9838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8384"/>
        <c:crosses val="autoZero"/>
        <c:crossBetween val="midCat"/>
      </c:valAx>
      <c:valAx>
        <c:axId val="720098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71-4FCE-BA83-2A99E8319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9264"/>
        <c:axId val="720097424"/>
      </c:scatterChart>
      <c:valAx>
        <c:axId val="72008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97424"/>
        <c:crosses val="autoZero"/>
        <c:crossBetween val="midCat"/>
      </c:valAx>
      <c:valAx>
        <c:axId val="720097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5F-4A25-AD63-AAF76E24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8734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87344"/>
        <c:crosses val="autoZero"/>
        <c:crossBetween val="midCat"/>
      </c:valAx>
      <c:valAx>
        <c:axId val="720087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DA-4F18-AB48-13BB8C79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5584"/>
        <c:axId val="720089264"/>
      </c:scatterChart>
      <c:valAx>
        <c:axId val="72010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  <c:valAx>
        <c:axId val="720089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5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0F-43FE-A76C-0F67D9D5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0846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08464"/>
        <c:crosses val="autoZero"/>
        <c:crossBetween val="midCat"/>
      </c:valAx>
      <c:valAx>
        <c:axId val="720108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ED-4BEC-8BFD-A1AABA232BCA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ED-4BEC-8BFD-A1AABA232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1230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2304"/>
        <c:crosses val="autoZero"/>
        <c:crossBetween val="midCat"/>
      </c:valAx>
      <c:valAx>
        <c:axId val="720112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DD-4E15-A370-6D475A2DE65E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DD-4E15-A370-6D475A2D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7504"/>
        <c:axId val="720111344"/>
      </c:scatterChart>
      <c:valAx>
        <c:axId val="72010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1344"/>
        <c:crosses val="autoZero"/>
        <c:crossBetween val="midCat"/>
      </c:valAx>
      <c:valAx>
        <c:axId val="720111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7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38-4667-A7ED-68F0DFB4E33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38-4667-A7ED-68F0DFB4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15664"/>
        <c:axId val="720124304"/>
      </c:scatterChart>
      <c:valAx>
        <c:axId val="72011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124304"/>
        <c:crosses val="autoZero"/>
        <c:crossBetween val="midCat"/>
      </c:valAx>
      <c:valAx>
        <c:axId val="72012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15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C-41B0-8134-6705E6A1C462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C-41B0-8134-6705E6A1C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478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24784"/>
        <c:crosses val="autoZero"/>
        <c:crossBetween val="midCat"/>
      </c:valAx>
      <c:valAx>
        <c:axId val="72012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BC-4D73-B6DD-B9CC8898F9EC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BC-4D73-B6DD-B9CC8898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862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8624"/>
        <c:crosses val="autoZero"/>
        <c:crossBetween val="midCat"/>
      </c:valAx>
      <c:valAx>
        <c:axId val="72012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4-45FD-936B-F5521393DA9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4-45FD-936B-F5521393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0064"/>
      </c:scatterChart>
      <c:valAx>
        <c:axId val="72012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30064"/>
        <c:crosses val="autoZero"/>
        <c:crossBetween val="midCat"/>
      </c:valAx>
      <c:valAx>
        <c:axId val="72013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det_s2!$F$30:$F$86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det_s2!$G$30:$G$86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8-4303-A03D-C7F9AF48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2464"/>
      </c:scatterChart>
      <c:valAx>
        <c:axId val="720126704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32464"/>
        <c:crosses val="autoZero"/>
        <c:crossBetween val="midCat"/>
      </c:valAx>
      <c:valAx>
        <c:axId val="720132464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B7-4194-97A7-C231644AD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87935"/>
        <c:axId val="130085055"/>
      </c:scatterChart>
      <c:valAx>
        <c:axId val="13008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5055"/>
        <c:crosses val="autoZero"/>
        <c:crossBetween val="midCat"/>
      </c:valAx>
      <c:valAx>
        <c:axId val="130085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7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C-4FC3-82D6-023EB51EC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0047"/>
        <c:axId val="125805727"/>
      </c:scatterChart>
      <c:valAx>
        <c:axId val="12581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5727"/>
        <c:crosses val="autoZero"/>
        <c:crossBetween val="midCat"/>
      </c:valAx>
      <c:valAx>
        <c:axId val="125805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100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9F-48E3-8CB1-356520730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6207"/>
        <c:axId val="125808607"/>
      </c:scatterChart>
      <c:valAx>
        <c:axId val="12580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808607"/>
        <c:crosses val="autoZero"/>
        <c:crossBetween val="midCat"/>
      </c:valAx>
      <c:valAx>
        <c:axId val="125808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62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7F-45EC-AC2D-5BFD0F11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9567"/>
        <c:axId val="125810047"/>
      </c:scatterChart>
      <c:valAx>
        <c:axId val="12580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810047"/>
        <c:crosses val="autoZero"/>
        <c:crossBetween val="midCat"/>
      </c:valAx>
      <c:valAx>
        <c:axId val="125810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9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7-4DEF-BE56-2C2D707CA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0095"/>
        <c:axId val="530696255"/>
      </c:scatterChart>
      <c:valAx>
        <c:axId val="53070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6255"/>
        <c:crosses val="autoZero"/>
        <c:crossBetween val="midCat"/>
      </c:valAx>
      <c:valAx>
        <c:axId val="53069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00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E0-4A69-A951-D7541739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97215"/>
        <c:axId val="530700095"/>
      </c:scatterChart>
      <c:valAx>
        <c:axId val="53069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0700095"/>
        <c:crosses val="autoZero"/>
        <c:crossBetween val="midCat"/>
      </c:valAx>
      <c:valAx>
        <c:axId val="530700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72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7A-45AD-9B4E-911599B7437A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7A-45AD-9B4E-911599B74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530702495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2495"/>
        <c:crosses val="autoZero"/>
        <c:crossBetween val="midCat"/>
      </c:valAx>
      <c:valAx>
        <c:axId val="530702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92-4CFA-BBD1-A32A308F3D71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92-4CFA-BBD1-A32A308F3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1913684847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684847"/>
        <c:crosses val="autoZero"/>
        <c:crossBetween val="midCat"/>
      </c:valAx>
      <c:valAx>
        <c:axId val="1913684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6-486F-8BD0-8731023CE2F8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6-486F-8BD0-8731023CE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628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13686287"/>
        <c:crosses val="autoZero"/>
        <c:crossBetween val="midCat"/>
      </c:valAx>
      <c:valAx>
        <c:axId val="191368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3-4CFA-A867-FA954F33895B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3-4CFA-A867-FA954F33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340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3683407"/>
        <c:crosses val="autoZero"/>
        <c:crossBetween val="midCat"/>
      </c:valAx>
      <c:valAx>
        <c:axId val="191368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4-4477-AD90-81E4CC582373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4-4477-AD90-81E4CC58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4095"/>
        <c:axId val="532649775"/>
      </c:scatterChart>
      <c:valAx>
        <c:axId val="53265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775"/>
        <c:crosses val="autoZero"/>
        <c:crossBetween val="midCat"/>
      </c:valAx>
      <c:valAx>
        <c:axId val="532649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40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5-45BC-A179-A5AACADDA932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5-45BC-A179-A5AACADD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3135"/>
        <c:axId val="532648335"/>
      </c:scatterChart>
      <c:valAx>
        <c:axId val="53265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2648335"/>
        <c:crosses val="autoZero"/>
        <c:crossBetween val="midCat"/>
      </c:valAx>
      <c:valAx>
        <c:axId val="532648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31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det_s3!$F$30:$F$86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det_s3!$G$30:$G$86</c:f>
              <c:numCache>
                <c:formatCode>General</c:formatCode>
                <c:ptCount val="57"/>
                <c:pt idx="0">
                  <c:v>7.5394722080418849E-2</c:v>
                </c:pt>
                <c:pt idx="1">
                  <c:v>7.6689948708763556E-2</c:v>
                </c:pt>
                <c:pt idx="2">
                  <c:v>9.6262307319613383E-2</c:v>
                </c:pt>
                <c:pt idx="3">
                  <c:v>0.104826776976109</c:v>
                </c:pt>
                <c:pt idx="4">
                  <c:v>0.10744108612117603</c:v>
                </c:pt>
                <c:pt idx="5">
                  <c:v>0.11010175869952225</c:v>
                </c:pt>
                <c:pt idx="6">
                  <c:v>0.11522788140020224</c:v>
                </c:pt>
                <c:pt idx="7">
                  <c:v>0.11573893096912527</c:v>
                </c:pt>
                <c:pt idx="8">
                  <c:v>0.11618078912870942</c:v>
                </c:pt>
                <c:pt idx="9">
                  <c:v>0.11752790418660788</c:v>
                </c:pt>
                <c:pt idx="10">
                  <c:v>0.11902073281978914</c:v>
                </c:pt>
                <c:pt idx="11">
                  <c:v>0.11956017193121819</c:v>
                </c:pt>
                <c:pt idx="12">
                  <c:v>0.12949078664273017</c:v>
                </c:pt>
                <c:pt idx="13">
                  <c:v>0.13186396720280033</c:v>
                </c:pt>
                <c:pt idx="14">
                  <c:v>0.13285873086390856</c:v>
                </c:pt>
                <c:pt idx="15">
                  <c:v>0.13384470060983608</c:v>
                </c:pt>
                <c:pt idx="16">
                  <c:v>0.13552171227821969</c:v>
                </c:pt>
                <c:pt idx="17">
                  <c:v>0.13585622569735606</c:v>
                </c:pt>
                <c:pt idx="18">
                  <c:v>0.13618253746617121</c:v>
                </c:pt>
                <c:pt idx="19">
                  <c:v>0.13946400436580281</c:v>
                </c:pt>
                <c:pt idx="20">
                  <c:v>0.14684843424395741</c:v>
                </c:pt>
                <c:pt idx="21">
                  <c:v>0.14872614773145862</c:v>
                </c:pt>
                <c:pt idx="22">
                  <c:v>0.15478379032619954</c:v>
                </c:pt>
                <c:pt idx="23">
                  <c:v>0.15762191818245747</c:v>
                </c:pt>
                <c:pt idx="24">
                  <c:v>0.18298773859716308</c:v>
                </c:pt>
                <c:pt idx="25">
                  <c:v>0.18711619866363827</c:v>
                </c:pt>
                <c:pt idx="26">
                  <c:v>0.19097396475018311</c:v>
                </c:pt>
                <c:pt idx="27">
                  <c:v>0.19256877532081795</c:v>
                </c:pt>
                <c:pt idx="28">
                  <c:v>0.19763580497321909</c:v>
                </c:pt>
                <c:pt idx="29">
                  <c:v>0.20354683526424028</c:v>
                </c:pt>
                <c:pt idx="30">
                  <c:v>0.20781448742727052</c:v>
                </c:pt>
                <c:pt idx="31">
                  <c:v>0.21120481801762225</c:v>
                </c:pt>
                <c:pt idx="32">
                  <c:v>0.21317422755413273</c:v>
                </c:pt>
                <c:pt idx="33">
                  <c:v>0.21727215091051894</c:v>
                </c:pt>
                <c:pt idx="34">
                  <c:v>0.23474669128953646</c:v>
                </c:pt>
                <c:pt idx="35">
                  <c:v>0.23837345793849138</c:v>
                </c:pt>
                <c:pt idx="36">
                  <c:v>0.24026928478757159</c:v>
                </c:pt>
                <c:pt idx="37">
                  <c:v>0.24345561792054168</c:v>
                </c:pt>
                <c:pt idx="38">
                  <c:v>0.24585467976512559</c:v>
                </c:pt>
                <c:pt idx="39">
                  <c:v>0.25810932464100778</c:v>
                </c:pt>
                <c:pt idx="40">
                  <c:v>0.31833866557338975</c:v>
                </c:pt>
                <c:pt idx="41">
                  <c:v>0.38958333333333339</c:v>
                </c:pt>
                <c:pt idx="42">
                  <c:v>0.41549576850129466</c:v>
                </c:pt>
                <c:pt idx="43">
                  <c:v>0.4208789215156572</c:v>
                </c:pt>
                <c:pt idx="44">
                  <c:v>0.42246555246326828</c:v>
                </c:pt>
                <c:pt idx="45">
                  <c:v>0.42676502144028711</c:v>
                </c:pt>
                <c:pt idx="46">
                  <c:v>0.4596169054375509</c:v>
                </c:pt>
                <c:pt idx="47">
                  <c:v>0.46587257180317532</c:v>
                </c:pt>
                <c:pt idx="48">
                  <c:v>0.47356725796283572</c:v>
                </c:pt>
                <c:pt idx="49">
                  <c:v>0.48183087830273708</c:v>
                </c:pt>
                <c:pt idx="50">
                  <c:v>0.49829090287240208</c:v>
                </c:pt>
                <c:pt idx="51">
                  <c:v>0.51062691468688859</c:v>
                </c:pt>
                <c:pt idx="52">
                  <c:v>0.62532656651397867</c:v>
                </c:pt>
                <c:pt idx="53">
                  <c:v>0.6555573760850435</c:v>
                </c:pt>
                <c:pt idx="54">
                  <c:v>0.65701973862942442</c:v>
                </c:pt>
                <c:pt idx="55">
                  <c:v>0.74352163678356586</c:v>
                </c:pt>
                <c:pt idx="56">
                  <c:v>0.85226104989164753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C-4A2A-B99B-9FF794D2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49295"/>
        <c:axId val="532653135"/>
      </c:scatterChart>
      <c:valAx>
        <c:axId val="53264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53135"/>
        <c:crosses val="autoZero"/>
        <c:crossBetween val="midCat"/>
      </c:valAx>
      <c:valAx>
        <c:axId val="532653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2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29-4CC4-AE47-AC82CD53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18046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464"/>
        <c:crosses val="autoZero"/>
        <c:crossBetween val="midCat"/>
      </c:valAx>
      <c:valAx>
        <c:axId val="720180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F-4CEC-B0F9-FEE4E9201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07150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71504"/>
        <c:crosses val="autoZero"/>
        <c:crossBetween val="midCat"/>
      </c:valAx>
      <c:valAx>
        <c:axId val="720071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66-4581-B018-F674E02D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0944"/>
        <c:axId val="720071024"/>
      </c:scatterChart>
      <c:valAx>
        <c:axId val="72018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71024"/>
        <c:crosses val="autoZero"/>
        <c:crossBetween val="midCat"/>
      </c:valAx>
      <c:valAx>
        <c:axId val="72007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9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3-4629-99F3-D7A25493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62864"/>
        <c:axId val="720057584"/>
      </c:scatterChart>
      <c:valAx>
        <c:axId val="72006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57584"/>
        <c:crosses val="autoZero"/>
        <c:crossBetween val="midCat"/>
      </c:valAx>
      <c:valAx>
        <c:axId val="72005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62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B-46CF-9E14-36B362D4C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0624"/>
        <c:axId val="720081104"/>
      </c:scatterChart>
      <c:valAx>
        <c:axId val="72008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104"/>
        <c:crosses val="autoZero"/>
        <c:crossBetween val="midCat"/>
      </c:valAx>
      <c:valAx>
        <c:axId val="720081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06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9-40B2-AA14-E61A7B67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6526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65264"/>
        <c:crosses val="autoZero"/>
        <c:crossBetween val="midCat"/>
      </c:valAx>
      <c:valAx>
        <c:axId val="72006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5-40D8-A4DA-682BF2F0E579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F5-40D8-A4DA-682BF2F0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8590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5904"/>
        <c:crosses val="autoZero"/>
        <c:crossBetween val="midCat"/>
      </c:valAx>
      <c:valAx>
        <c:axId val="7200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F7-43C1-93EA-6D1965074588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F7-43C1-93EA-6D1965074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6192"/>
        <c:axId val="414185712"/>
      </c:scatterChart>
      <c:valAx>
        <c:axId val="41418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5712"/>
        <c:crosses val="autoZero"/>
        <c:crossBetween val="midCat"/>
      </c:valAx>
      <c:valAx>
        <c:axId val="41418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F-4E46-ACA1-527B76DCCC6A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2F-4E46-ACA1-527B76DC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0992"/>
        <c:axId val="414188112"/>
      </c:scatterChart>
      <c:valAx>
        <c:axId val="41419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8112"/>
        <c:crosses val="autoZero"/>
        <c:crossBetween val="midCat"/>
      </c:valAx>
      <c:valAx>
        <c:axId val="414188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0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EB-46C0-B9CD-DE3939741DF3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EB-46C0-B9CD-DE393974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3312"/>
        <c:axId val="414200112"/>
      </c:scatterChart>
      <c:valAx>
        <c:axId val="41418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200112"/>
        <c:crosses val="autoZero"/>
        <c:crossBetween val="midCat"/>
      </c:valAx>
      <c:valAx>
        <c:axId val="41420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3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B-409E-BC13-114CE3019C27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B-409E-BC13-114CE301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1472"/>
        <c:axId val="414183312"/>
      </c:scatterChart>
      <c:valAx>
        <c:axId val="41419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3312"/>
        <c:crosses val="autoZero"/>
        <c:crossBetween val="midCat"/>
      </c:valAx>
      <c:valAx>
        <c:axId val="414183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1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94-49AB-BA7A-97DA01130EDC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94-49AB-BA7A-97DA0113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06832"/>
        <c:axId val="414191472"/>
      </c:scatterChart>
      <c:valAx>
        <c:axId val="41420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191472"/>
        <c:crosses val="autoZero"/>
        <c:crossBetween val="midCat"/>
      </c:valAx>
      <c:valAx>
        <c:axId val="414191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206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'a3'!$F$30:$F$86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'a3'!$G$30:$G$86</c:f>
              <c:numCache>
                <c:formatCode>General</c:formatCode>
                <c:ptCount val="57"/>
                <c:pt idx="0">
                  <c:v>40.700000000000003</c:v>
                </c:pt>
                <c:pt idx="1">
                  <c:v>43.9</c:v>
                </c:pt>
                <c:pt idx="2">
                  <c:v>44</c:v>
                </c:pt>
                <c:pt idx="3">
                  <c:v>45.9</c:v>
                </c:pt>
                <c:pt idx="4">
                  <c:v>45.9</c:v>
                </c:pt>
                <c:pt idx="5">
                  <c:v>49.4</c:v>
                </c:pt>
                <c:pt idx="6">
                  <c:v>49.9</c:v>
                </c:pt>
                <c:pt idx="7">
                  <c:v>50</c:v>
                </c:pt>
                <c:pt idx="8">
                  <c:v>50.7</c:v>
                </c:pt>
                <c:pt idx="9">
                  <c:v>50.7</c:v>
                </c:pt>
                <c:pt idx="10">
                  <c:v>51.6</c:v>
                </c:pt>
                <c:pt idx="11">
                  <c:v>51.7</c:v>
                </c:pt>
                <c:pt idx="12">
                  <c:v>53.5</c:v>
                </c:pt>
                <c:pt idx="13">
                  <c:v>54.1</c:v>
                </c:pt>
                <c:pt idx="14">
                  <c:v>55</c:v>
                </c:pt>
                <c:pt idx="15">
                  <c:v>56.7</c:v>
                </c:pt>
                <c:pt idx="16">
                  <c:v>57.7</c:v>
                </c:pt>
                <c:pt idx="17">
                  <c:v>58.1</c:v>
                </c:pt>
                <c:pt idx="18">
                  <c:v>58.6</c:v>
                </c:pt>
                <c:pt idx="19">
                  <c:v>59.1</c:v>
                </c:pt>
                <c:pt idx="20">
                  <c:v>60.2</c:v>
                </c:pt>
                <c:pt idx="21">
                  <c:v>60.6</c:v>
                </c:pt>
                <c:pt idx="22">
                  <c:v>61.1</c:v>
                </c:pt>
                <c:pt idx="23">
                  <c:v>62.5</c:v>
                </c:pt>
                <c:pt idx="24">
                  <c:v>62.7</c:v>
                </c:pt>
                <c:pt idx="25">
                  <c:v>64.2</c:v>
                </c:pt>
                <c:pt idx="26">
                  <c:v>64.5</c:v>
                </c:pt>
                <c:pt idx="27">
                  <c:v>64.900000000000006</c:v>
                </c:pt>
                <c:pt idx="28">
                  <c:v>65</c:v>
                </c:pt>
                <c:pt idx="29">
                  <c:v>65.900000000000006</c:v>
                </c:pt>
                <c:pt idx="30">
                  <c:v>66</c:v>
                </c:pt>
                <c:pt idx="31">
                  <c:v>68.2</c:v>
                </c:pt>
                <c:pt idx="32">
                  <c:v>70.7</c:v>
                </c:pt>
                <c:pt idx="33">
                  <c:v>73.2</c:v>
                </c:pt>
                <c:pt idx="34">
                  <c:v>76.5</c:v>
                </c:pt>
                <c:pt idx="35">
                  <c:v>80</c:v>
                </c:pt>
                <c:pt idx="36">
                  <c:v>81.7</c:v>
                </c:pt>
                <c:pt idx="37">
                  <c:v>83.5</c:v>
                </c:pt>
                <c:pt idx="38">
                  <c:v>83.6</c:v>
                </c:pt>
                <c:pt idx="39">
                  <c:v>84.6</c:v>
                </c:pt>
                <c:pt idx="40">
                  <c:v>84.7</c:v>
                </c:pt>
                <c:pt idx="41">
                  <c:v>85.5</c:v>
                </c:pt>
                <c:pt idx="42">
                  <c:v>86.1</c:v>
                </c:pt>
                <c:pt idx="43">
                  <c:v>89.4</c:v>
                </c:pt>
                <c:pt idx="44">
                  <c:v>92.2</c:v>
                </c:pt>
                <c:pt idx="45">
                  <c:v>94</c:v>
                </c:pt>
                <c:pt idx="46">
                  <c:v>97.9</c:v>
                </c:pt>
                <c:pt idx="47">
                  <c:v>107.5</c:v>
                </c:pt>
                <c:pt idx="48">
                  <c:v>110.6</c:v>
                </c:pt>
                <c:pt idx="49">
                  <c:v>112.1</c:v>
                </c:pt>
                <c:pt idx="50">
                  <c:v>113.9</c:v>
                </c:pt>
                <c:pt idx="51">
                  <c:v>114.2</c:v>
                </c:pt>
                <c:pt idx="52">
                  <c:v>115.1</c:v>
                </c:pt>
                <c:pt idx="53">
                  <c:v>115.6</c:v>
                </c:pt>
                <c:pt idx="54">
                  <c:v>131.30000000000001</c:v>
                </c:pt>
                <c:pt idx="55">
                  <c:v>132.69999999999999</c:v>
                </c:pt>
                <c:pt idx="56">
                  <c:v>143.5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28-4EE6-8EAD-F9A619B2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1152"/>
        <c:axId val="414206832"/>
      </c:scatterChart>
      <c:valAx>
        <c:axId val="41421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06832"/>
        <c:crosses val="autoZero"/>
        <c:crossBetween val="midCat"/>
      </c:valAx>
      <c:valAx>
        <c:axId val="41420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111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13" Type="http://schemas.openxmlformats.org/officeDocument/2006/relationships/chart" Target="../charts/chart54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12" Type="http://schemas.openxmlformats.org/officeDocument/2006/relationships/chart" Target="../charts/chart53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11" Type="http://schemas.openxmlformats.org/officeDocument/2006/relationships/chart" Target="../charts/chart52.xml"/><Relationship Id="rId5" Type="http://schemas.openxmlformats.org/officeDocument/2006/relationships/chart" Target="../charts/chart46.xml"/><Relationship Id="rId10" Type="http://schemas.openxmlformats.org/officeDocument/2006/relationships/chart" Target="../charts/chart51.xml"/><Relationship Id="rId4" Type="http://schemas.openxmlformats.org/officeDocument/2006/relationships/chart" Target="../charts/chart45.xml"/><Relationship Id="rId9" Type="http://schemas.openxmlformats.org/officeDocument/2006/relationships/chart" Target="../charts/chart5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26</xdr:row>
      <xdr:rowOff>140970</xdr:rowOff>
    </xdr:from>
    <xdr:to>
      <xdr:col>5</xdr:col>
      <xdr:colOff>9525</xdr:colOff>
      <xdr:row>41</xdr:row>
      <xdr:rowOff>26670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094F72-2F0D-44D4-8636-1201B879E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26</xdr:row>
      <xdr:rowOff>160020</xdr:rowOff>
    </xdr:from>
    <xdr:to>
      <xdr:col>10</xdr:col>
      <xdr:colOff>87630</xdr:colOff>
      <xdr:row>41</xdr:row>
      <xdr:rowOff>45720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A503FB1-0AD5-4D6A-8060-B601252B0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26</xdr:row>
      <xdr:rowOff>167640</xdr:rowOff>
    </xdr:from>
    <xdr:to>
      <xdr:col>15</xdr:col>
      <xdr:colOff>443865</xdr:colOff>
      <xdr:row>41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8E1706-F3A8-4688-BC80-C5DAC7C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41</xdr:row>
      <xdr:rowOff>93345</xdr:rowOff>
    </xdr:from>
    <xdr:to>
      <xdr:col>5</xdr:col>
      <xdr:colOff>49530</xdr:colOff>
      <xdr:row>55</xdr:row>
      <xdr:rowOff>169545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2EFC86F-CA23-4C77-BEEB-DCC6E01B8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FE049F-DCF8-6836-C439-2EBC5A39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367665</xdr:colOff>
      <xdr:row>1</xdr:row>
      <xdr:rowOff>9525</xdr:rowOff>
    </xdr:from>
    <xdr:to>
      <xdr:col>21</xdr:col>
      <xdr:colOff>367665</xdr:colOff>
      <xdr:row>11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6B42557-8F14-7F7C-3611-23DBC2D0A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520065</xdr:colOff>
      <xdr:row>0</xdr:row>
      <xdr:rowOff>180975</xdr:rowOff>
    </xdr:from>
    <xdr:to>
      <xdr:col>27</xdr:col>
      <xdr:colOff>520065</xdr:colOff>
      <xdr:row>10</xdr:row>
      <xdr:rowOff>177165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363D9B-0C1C-1D0E-C475-3B0809268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62865</xdr:colOff>
      <xdr:row>11</xdr:row>
      <xdr:rowOff>123825</xdr:rowOff>
    </xdr:from>
    <xdr:to>
      <xdr:col>28</xdr:col>
      <xdr:colOff>62865</xdr:colOff>
      <xdr:row>21</xdr:row>
      <xdr:rowOff>142875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D896974-1FBD-35D3-0CDD-45E710293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215265</xdr:colOff>
      <xdr:row>11</xdr:row>
      <xdr:rowOff>123825</xdr:rowOff>
    </xdr:from>
    <xdr:to>
      <xdr:col>15</xdr:col>
      <xdr:colOff>215265</xdr:colOff>
      <xdr:row>21</xdr:row>
      <xdr:rowOff>129540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B426A1E8-E94D-2908-CFF6-AFD5C7035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424815</xdr:colOff>
      <xdr:row>11</xdr:row>
      <xdr:rowOff>142875</xdr:rowOff>
    </xdr:from>
    <xdr:to>
      <xdr:col>21</xdr:col>
      <xdr:colOff>424815</xdr:colOff>
      <xdr:row>21</xdr:row>
      <xdr:rowOff>142875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0090493-D9F1-F0F2-B9C0-77E4E04E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186690</xdr:colOff>
      <xdr:row>22</xdr:row>
      <xdr:rowOff>87629</xdr:rowOff>
    </xdr:from>
    <xdr:to>
      <xdr:col>15</xdr:col>
      <xdr:colOff>186690</xdr:colOff>
      <xdr:row>38</xdr:row>
      <xdr:rowOff>28574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7707523-7892-A943-4867-70C08F69E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436244</xdr:colOff>
      <xdr:row>22</xdr:row>
      <xdr:rowOff>95250</xdr:rowOff>
    </xdr:from>
    <xdr:to>
      <xdr:col>23</xdr:col>
      <xdr:colOff>552449</xdr:colOff>
      <xdr:row>38</xdr:row>
      <xdr:rowOff>38100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97BA0378-4ED3-97DE-F192-CE13AE2D2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125730</xdr:colOff>
      <xdr:row>22</xdr:row>
      <xdr:rowOff>87629</xdr:rowOff>
    </xdr:from>
    <xdr:to>
      <xdr:col>33</xdr:col>
      <xdr:colOff>201930</xdr:colOff>
      <xdr:row>38</xdr:row>
      <xdr:rowOff>57150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2730F1F7-C157-24AB-3593-8293E8A64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226695</xdr:colOff>
      <xdr:row>39</xdr:row>
      <xdr:rowOff>19050</xdr:rowOff>
    </xdr:from>
    <xdr:to>
      <xdr:col>34</xdr:col>
      <xdr:colOff>192405</xdr:colOff>
      <xdr:row>57</xdr:row>
      <xdr:rowOff>93345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1DEF571-6636-9755-1409-5DA7B127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224790</xdr:colOff>
      <xdr:row>39</xdr:row>
      <xdr:rowOff>28574</xdr:rowOff>
    </xdr:from>
    <xdr:to>
      <xdr:col>17</xdr:col>
      <xdr:colOff>76199</xdr:colOff>
      <xdr:row>57</xdr:row>
      <xdr:rowOff>142874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71F2FF5-4842-A383-82B9-C642A6EC0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262890</xdr:colOff>
      <xdr:row>39</xdr:row>
      <xdr:rowOff>11429</xdr:rowOff>
    </xdr:from>
    <xdr:to>
      <xdr:col>25</xdr:col>
      <xdr:colOff>533400</xdr:colOff>
      <xdr:row>57</xdr:row>
      <xdr:rowOff>116204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3C6D8381-D412-D97A-BE64-B00355D92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123824</xdr:colOff>
      <xdr:row>53</xdr:row>
      <xdr:rowOff>7620</xdr:rowOff>
    </xdr:from>
    <xdr:to>
      <xdr:col>14</xdr:col>
      <xdr:colOff>485775</xdr:colOff>
      <xdr:row>69</xdr:row>
      <xdr:rowOff>102870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A91F3B5B-118A-2FD4-19A4-31BF4FC8A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0</xdr:row>
      <xdr:rowOff>182880</xdr:rowOff>
    </xdr:from>
    <xdr:to>
      <xdr:col>15</xdr:col>
      <xdr:colOff>213360</xdr:colOff>
      <xdr:row>10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F952D8-7154-19CF-4E4B-DD1401D1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2</xdr:row>
      <xdr:rowOff>182880</xdr:rowOff>
    </xdr:from>
    <xdr:to>
      <xdr:col>16</xdr:col>
      <xdr:colOff>213360</xdr:colOff>
      <xdr:row>12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293445-216A-3341-5781-AE1B2C892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213360</xdr:colOff>
      <xdr:row>4</xdr:row>
      <xdr:rowOff>182880</xdr:rowOff>
    </xdr:from>
    <xdr:to>
      <xdr:col>17</xdr:col>
      <xdr:colOff>213360</xdr:colOff>
      <xdr:row>14</xdr:row>
      <xdr:rowOff>182880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B50CA72-0959-C6AA-65CA-EFD84DD62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213360</xdr:colOff>
      <xdr:row>6</xdr:row>
      <xdr:rowOff>182880</xdr:rowOff>
    </xdr:from>
    <xdr:to>
      <xdr:col>18</xdr:col>
      <xdr:colOff>213360</xdr:colOff>
      <xdr:row>16</xdr:row>
      <xdr:rowOff>182880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60C7CC7-0DE4-3AB6-1EAC-A25458BD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213360</xdr:colOff>
      <xdr:row>8</xdr:row>
      <xdr:rowOff>182880</xdr:rowOff>
    </xdr:from>
    <xdr:to>
      <xdr:col>19</xdr:col>
      <xdr:colOff>213359</xdr:colOff>
      <xdr:row>18</xdr:row>
      <xdr:rowOff>182880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59DAB16-2170-5326-7B09-EF4165055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213360</xdr:colOff>
      <xdr:row>10</xdr:row>
      <xdr:rowOff>182880</xdr:rowOff>
    </xdr:from>
    <xdr:to>
      <xdr:col>20</xdr:col>
      <xdr:colOff>213360</xdr:colOff>
      <xdr:row>20</xdr:row>
      <xdr:rowOff>182880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ECAC3F8-C775-4E59-8F2F-524A43C05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419100</xdr:colOff>
      <xdr:row>22</xdr:row>
      <xdr:rowOff>161925</xdr:rowOff>
    </xdr:from>
    <xdr:to>
      <xdr:col>20</xdr:col>
      <xdr:colOff>419100</xdr:colOff>
      <xdr:row>32</xdr:row>
      <xdr:rowOff>180975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E9441E7-78CF-62FA-0C62-6B9322C82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62</xdr:row>
      <xdr:rowOff>140970</xdr:rowOff>
    </xdr:from>
    <xdr:to>
      <xdr:col>5</xdr:col>
      <xdr:colOff>9525</xdr:colOff>
      <xdr:row>77</xdr:row>
      <xdr:rowOff>26670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BC92E56-0B12-C181-74B3-CA60980FD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62</xdr:row>
      <xdr:rowOff>160020</xdr:rowOff>
    </xdr:from>
    <xdr:to>
      <xdr:col>10</xdr:col>
      <xdr:colOff>87630</xdr:colOff>
      <xdr:row>77</xdr:row>
      <xdr:rowOff>45720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010D2ED-D0A1-46E1-9B57-A0FBE8CD4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62</xdr:row>
      <xdr:rowOff>167640</xdr:rowOff>
    </xdr:from>
    <xdr:to>
      <xdr:col>15</xdr:col>
      <xdr:colOff>443865</xdr:colOff>
      <xdr:row>77</xdr:row>
      <xdr:rowOff>53340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DBEA44C-E2DF-4C79-B910-E7E9B2E66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77</xdr:row>
      <xdr:rowOff>93345</xdr:rowOff>
    </xdr:from>
    <xdr:to>
      <xdr:col>5</xdr:col>
      <xdr:colOff>49530</xdr:colOff>
      <xdr:row>91</xdr:row>
      <xdr:rowOff>169545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5CFF549-0C13-819B-441E-43A31D9D8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46FF411-9A89-FB4B-76F6-120EF4AF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424815</xdr:colOff>
      <xdr:row>0</xdr:row>
      <xdr:rowOff>180975</xdr:rowOff>
    </xdr:from>
    <xdr:to>
      <xdr:col>21</xdr:col>
      <xdr:colOff>424815</xdr:colOff>
      <xdr:row>10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7BEE49-92D2-AB47-5034-BE04623E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110490</xdr:colOff>
      <xdr:row>1</xdr:row>
      <xdr:rowOff>9525</xdr:rowOff>
    </xdr:from>
    <xdr:to>
      <xdr:col>28</xdr:col>
      <xdr:colOff>110490</xdr:colOff>
      <xdr:row>11</xdr:row>
      <xdr:rowOff>5715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17F5AA2-45C9-C1BA-B265-6E83E4BB4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262890</xdr:colOff>
      <xdr:row>11</xdr:row>
      <xdr:rowOff>133350</xdr:rowOff>
    </xdr:from>
    <xdr:to>
      <xdr:col>15</xdr:col>
      <xdr:colOff>262890</xdr:colOff>
      <xdr:row>21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34709B1-93B0-FE13-89C1-17033A0EA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472440</xdr:colOff>
      <xdr:row>11</xdr:row>
      <xdr:rowOff>85725</xdr:rowOff>
    </xdr:from>
    <xdr:to>
      <xdr:col>21</xdr:col>
      <xdr:colOff>472440</xdr:colOff>
      <xdr:row>21</xdr:row>
      <xdr:rowOff>91440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231A96B-F850-61FF-FB22-19F03E2E0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72390</xdr:colOff>
      <xdr:row>11</xdr:row>
      <xdr:rowOff>66675</xdr:rowOff>
    </xdr:from>
    <xdr:to>
      <xdr:col>28</xdr:col>
      <xdr:colOff>72390</xdr:colOff>
      <xdr:row>21</xdr:row>
      <xdr:rowOff>66675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0126597-BE69-050C-1100-5536912F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142875</xdr:rowOff>
    </xdr:from>
    <xdr:to>
      <xdr:col>15</xdr:col>
      <xdr:colOff>243840</xdr:colOff>
      <xdr:row>32</xdr:row>
      <xdr:rowOff>142875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2C10B1EF-2329-B313-3BC7-3A27C4C8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443865</xdr:colOff>
      <xdr:row>22</xdr:row>
      <xdr:rowOff>104775</xdr:rowOff>
    </xdr:from>
    <xdr:to>
      <xdr:col>21</xdr:col>
      <xdr:colOff>443865</xdr:colOff>
      <xdr:row>32</xdr:row>
      <xdr:rowOff>104775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9EE38DD-775C-4D15-1F1B-0D6154608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491490</xdr:colOff>
      <xdr:row>22</xdr:row>
      <xdr:rowOff>66675</xdr:rowOff>
    </xdr:from>
    <xdr:to>
      <xdr:col>27</xdr:col>
      <xdr:colOff>491490</xdr:colOff>
      <xdr:row>32</xdr:row>
      <xdr:rowOff>64770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8D05E221-8CD0-72CD-4304-F68C6846E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224790</xdr:colOff>
      <xdr:row>33</xdr:row>
      <xdr:rowOff>114300</xdr:rowOff>
    </xdr:from>
    <xdr:to>
      <xdr:col>15</xdr:col>
      <xdr:colOff>224790</xdr:colOff>
      <xdr:row>43</xdr:row>
      <xdr:rowOff>133350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B8271066-66F5-6621-6692-A1FDA798D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405765</xdr:colOff>
      <xdr:row>33</xdr:row>
      <xdr:rowOff>85725</xdr:rowOff>
    </xdr:from>
    <xdr:to>
      <xdr:col>21</xdr:col>
      <xdr:colOff>405765</xdr:colOff>
      <xdr:row>43</xdr:row>
      <xdr:rowOff>104775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E54498C-89D6-9848-2384-627CF1FFC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539115</xdr:colOff>
      <xdr:row>33</xdr:row>
      <xdr:rowOff>85725</xdr:rowOff>
    </xdr:from>
    <xdr:to>
      <xdr:col>27</xdr:col>
      <xdr:colOff>539115</xdr:colOff>
      <xdr:row>43</xdr:row>
      <xdr:rowOff>104775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E6B52D7-D13E-292F-0519-D0B568207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211456</xdr:colOff>
      <xdr:row>44</xdr:row>
      <xdr:rowOff>114300</xdr:rowOff>
    </xdr:from>
    <xdr:to>
      <xdr:col>13</xdr:col>
      <xdr:colOff>257176</xdr:colOff>
      <xdr:row>60</xdr:row>
      <xdr:rowOff>169545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33A7BD7-8FE0-D56B-05DD-5F62B9603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5F619CF-EC42-9C11-6B97-59321F7E2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9860FA6-DDF3-D132-108A-1C6B27BA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186690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80D67EC-4350-72C0-F665-10860CBC3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17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9361D0-3A3D-20BB-EE98-D4348E2CF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240030</xdr:colOff>
      <xdr:row>9</xdr:row>
      <xdr:rowOff>0</xdr:rowOff>
    </xdr:from>
    <xdr:to>
      <xdr:col>19</xdr:col>
      <xdr:colOff>240030</xdr:colOff>
      <xdr:row>18</xdr:row>
      <xdr:rowOff>186690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1B1590A-F1A1-9E86-BFC7-B6E4BD008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240030</xdr:colOff>
      <xdr:row>11</xdr:row>
      <xdr:rowOff>0</xdr:rowOff>
    </xdr:from>
    <xdr:to>
      <xdr:col>20</xdr:col>
      <xdr:colOff>240030</xdr:colOff>
      <xdr:row>21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A586AD-4B8E-755A-DA58-9A5C72BA3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240030</xdr:colOff>
      <xdr:row>13</xdr:row>
      <xdr:rowOff>0</xdr:rowOff>
    </xdr:from>
    <xdr:to>
      <xdr:col>21</xdr:col>
      <xdr:colOff>240030</xdr:colOff>
      <xdr:row>22</xdr:row>
      <xdr:rowOff>190500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92DBE26-27E1-CA92-F832-723183833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240030</xdr:colOff>
      <xdr:row>14</xdr:row>
      <xdr:rowOff>190500</xdr:rowOff>
    </xdr:from>
    <xdr:to>
      <xdr:col>22</xdr:col>
      <xdr:colOff>240030</xdr:colOff>
      <xdr:row>25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3214788-6DA1-F47E-A240-6BCF3F9C4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240030</xdr:colOff>
      <xdr:row>17</xdr:row>
      <xdr:rowOff>0</xdr:rowOff>
    </xdr:from>
    <xdr:to>
      <xdr:col>23</xdr:col>
      <xdr:colOff>240030</xdr:colOff>
      <xdr:row>27</xdr:row>
      <xdr:rowOff>5715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6BB082ED-A2EC-104F-A4A8-D8478F00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240030</xdr:colOff>
      <xdr:row>19</xdr:row>
      <xdr:rowOff>0</xdr:rowOff>
    </xdr:from>
    <xdr:to>
      <xdr:col>24</xdr:col>
      <xdr:colOff>240030</xdr:colOff>
      <xdr:row>29</xdr:row>
      <xdr:rowOff>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F1423B52-8D9C-E69A-C90F-48C1950A0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240030</xdr:colOff>
      <xdr:row>21</xdr:row>
      <xdr:rowOff>0</xdr:rowOff>
    </xdr:from>
    <xdr:to>
      <xdr:col>25</xdr:col>
      <xdr:colOff>240030</xdr:colOff>
      <xdr:row>31</xdr:row>
      <xdr:rowOff>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3BE2659-D005-78BA-F724-46083D607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240030</xdr:colOff>
      <xdr:row>22</xdr:row>
      <xdr:rowOff>190500</xdr:rowOff>
    </xdr:from>
    <xdr:to>
      <xdr:col>26</xdr:col>
      <xdr:colOff>240030</xdr:colOff>
      <xdr:row>33</xdr:row>
      <xdr:rowOff>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61F9FC7D-BA00-F305-3D2C-FA5DAED0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240030</xdr:colOff>
      <xdr:row>25</xdr:row>
      <xdr:rowOff>0</xdr:rowOff>
    </xdr:from>
    <xdr:to>
      <xdr:col>27</xdr:col>
      <xdr:colOff>240030</xdr:colOff>
      <xdr:row>35</xdr:row>
      <xdr:rowOff>5715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AD136EF-55A2-B76C-FFED-D3BFA5CA9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9A25B6-BD70-D68D-5166-417CE3E44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548640</xdr:colOff>
      <xdr:row>1</xdr:row>
      <xdr:rowOff>47625</xdr:rowOff>
    </xdr:from>
    <xdr:to>
      <xdr:col>21</xdr:col>
      <xdr:colOff>548640</xdr:colOff>
      <xdr:row>11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BE54D9-0180-1082-1BC3-80C14086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167640</xdr:colOff>
      <xdr:row>1</xdr:row>
      <xdr:rowOff>38100</xdr:rowOff>
    </xdr:from>
    <xdr:to>
      <xdr:col>28</xdr:col>
      <xdr:colOff>167640</xdr:colOff>
      <xdr:row>11</xdr:row>
      <xdr:rowOff>34290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A59C4D8-DA91-518C-81BE-A10C11CE0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180975</xdr:colOff>
      <xdr:row>11</xdr:row>
      <xdr:rowOff>169545</xdr:rowOff>
    </xdr:from>
    <xdr:to>
      <xdr:col>28</xdr:col>
      <xdr:colOff>180975</xdr:colOff>
      <xdr:row>22</xdr:row>
      <xdr:rowOff>1905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C91053E-B312-5F36-E62B-665F6C67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220980</xdr:colOff>
      <xdr:row>12</xdr:row>
      <xdr:rowOff>24765</xdr:rowOff>
    </xdr:from>
    <xdr:to>
      <xdr:col>15</xdr:col>
      <xdr:colOff>220980</xdr:colOff>
      <xdr:row>22</xdr:row>
      <xdr:rowOff>30480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849F8AC-3295-384D-4F46-8C829715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12</xdr:row>
      <xdr:rowOff>15240</xdr:rowOff>
    </xdr:from>
    <xdr:to>
      <xdr:col>21</xdr:col>
      <xdr:colOff>533400</xdr:colOff>
      <xdr:row>22</xdr:row>
      <xdr:rowOff>15240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F6AA6F9-4105-7C79-97A8-81D297E09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161925</xdr:rowOff>
    </xdr:from>
    <xdr:to>
      <xdr:col>15</xdr:col>
      <xdr:colOff>243840</xdr:colOff>
      <xdr:row>32</xdr:row>
      <xdr:rowOff>161925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544C3F39-101E-55C1-5C1C-6A253DEE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481965</xdr:colOff>
      <xdr:row>22</xdr:row>
      <xdr:rowOff>180975</xdr:rowOff>
    </xdr:from>
    <xdr:to>
      <xdr:col>21</xdr:col>
      <xdr:colOff>481965</xdr:colOff>
      <xdr:row>32</xdr:row>
      <xdr:rowOff>180975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3BF098B-191A-963A-6F51-7056D933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167640</xdr:colOff>
      <xdr:row>22</xdr:row>
      <xdr:rowOff>123825</xdr:rowOff>
    </xdr:from>
    <xdr:to>
      <xdr:col>28</xdr:col>
      <xdr:colOff>167640</xdr:colOff>
      <xdr:row>32</xdr:row>
      <xdr:rowOff>121920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0D90F71-478C-1AAD-E4CF-A0A203CDD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158115</xdr:colOff>
      <xdr:row>33</xdr:row>
      <xdr:rowOff>161925</xdr:rowOff>
    </xdr:from>
    <xdr:to>
      <xdr:col>28</xdr:col>
      <xdr:colOff>158115</xdr:colOff>
      <xdr:row>43</xdr:row>
      <xdr:rowOff>180975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919F21BE-4547-9DD9-15C6-0FB00B4C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253365</xdr:colOff>
      <xdr:row>33</xdr:row>
      <xdr:rowOff>66675</xdr:rowOff>
    </xdr:from>
    <xdr:to>
      <xdr:col>15</xdr:col>
      <xdr:colOff>253365</xdr:colOff>
      <xdr:row>43</xdr:row>
      <xdr:rowOff>85725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4EEEAFB4-35B5-901B-1A9F-5E5CD4724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443865</xdr:colOff>
      <xdr:row>33</xdr:row>
      <xdr:rowOff>133350</xdr:rowOff>
    </xdr:from>
    <xdr:to>
      <xdr:col>21</xdr:col>
      <xdr:colOff>443865</xdr:colOff>
      <xdr:row>43</xdr:row>
      <xdr:rowOff>152400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A936AEDF-A1A8-112F-1607-867FAE84D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3809</xdr:colOff>
      <xdr:row>45</xdr:row>
      <xdr:rowOff>20955</xdr:rowOff>
    </xdr:from>
    <xdr:to>
      <xdr:col>17</xdr:col>
      <xdr:colOff>154304</xdr:colOff>
      <xdr:row>63</xdr:row>
      <xdr:rowOff>38100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8D41FEEE-CEFB-19AA-53DD-73B3F5B31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3D3-579A-42D7-9F83-A403F766EA84}">
  <dimension ref="A1:X24"/>
  <sheetViews>
    <sheetView tabSelected="1" zoomScale="115" zoomScaleNormal="115" workbookViewId="0">
      <selection activeCell="K3" sqref="K3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18">
        <v>0.3</v>
      </c>
      <c r="B2" s="18">
        <v>0.6</v>
      </c>
      <c r="C2" s="19">
        <f t="shared" ref="C2:C22" si="0">SQRT(POWER(A2, 2) + POWER(B2, 2) - 2 * A2 * B2 * COS(RADIANS(E2)))</f>
        <v>0.51961524227066314</v>
      </c>
      <c r="D2" s="20">
        <f t="shared" ref="D2:D22" si="1">180-E2-F2</f>
        <v>30</v>
      </c>
      <c r="E2" s="18">
        <v>60</v>
      </c>
      <c r="F2" s="20">
        <f t="shared" ref="F2:F22" si="2">DEGREES(ACOS((POWER(C2, 2) + POWER(A2, 2) - POWER(B2, 2)) / (2 * C2 *A2)))</f>
        <v>90</v>
      </c>
      <c r="G2" s="18">
        <v>315.5</v>
      </c>
      <c r="H2" s="18">
        <v>284.8</v>
      </c>
      <c r="I2" s="18">
        <v>57.7</v>
      </c>
      <c r="J2" s="47">
        <f t="shared" ref="J2:J22" si="3">SQRT(POWER(H2, 2) + POWER(G2, 2) - 2 * G2 * H2 * COS(RADIANS(I2)))</f>
        <v>290.90113529165467</v>
      </c>
      <c r="K2" s="13">
        <f>G2/1.12/1000</f>
        <v>0.28169642857142857</v>
      </c>
      <c r="L2" s="13">
        <f t="shared" ref="L2:L22" si="4">H2/1.12/1000</f>
        <v>0.25428571428571428</v>
      </c>
      <c r="M2" s="13">
        <f t="shared" ref="M2:M7" si="5">I2</f>
        <v>57.7</v>
      </c>
      <c r="N2" s="13">
        <f t="shared" ref="N2:N22" si="6">J2/1.12/1000</f>
        <v>0.25973315651040596</v>
      </c>
      <c r="O2" s="16">
        <f t="shared" ref="O2:O16" si="7">A2-N2</f>
        <v>4.0266843489594029E-2</v>
      </c>
      <c r="P2" s="16">
        <f>(B2-K2)/B2</f>
        <v>0.53050595238095233</v>
      </c>
      <c r="Q2" s="16">
        <f t="shared" ref="P2:Q12" si="8">(C2-L2)/C2</f>
        <v>0.51062691468688859</v>
      </c>
      <c r="R2" s="16">
        <f t="shared" ref="R2:R22" si="9">D2-M2</f>
        <v>-27.700000000000003</v>
      </c>
      <c r="S2" s="16">
        <f t="shared" ref="S2:T22" si="10">(B2-K2)</f>
        <v>0.31830357142857141</v>
      </c>
      <c r="T2" s="16">
        <f t="shared" si="10"/>
        <v>0.26532952798494885</v>
      </c>
      <c r="U2" s="6">
        <f t="shared" ref="U2:U22" si="11">ABS(S2-T2)</f>
        <v>5.2974043443622554E-2</v>
      </c>
      <c r="V2" s="35">
        <f t="shared" ref="V2:V22" si="12">B2/C2</f>
        <v>1.1547005383792517</v>
      </c>
      <c r="W2" s="4">
        <f t="shared" ref="W2:X22" si="13">S2*1000/22</f>
        <v>14.468344155844154</v>
      </c>
      <c r="X2" s="4">
        <f t="shared" si="13"/>
        <v>12.060433090224949</v>
      </c>
    </row>
    <row r="3" spans="1:24">
      <c r="A3" s="21">
        <v>0.3</v>
      </c>
      <c r="B3" s="21">
        <v>0.9</v>
      </c>
      <c r="C3" s="13">
        <f t="shared" si="0"/>
        <v>0.79372539331937708</v>
      </c>
      <c r="D3" s="14">
        <f t="shared" si="1"/>
        <v>19.106605350869074</v>
      </c>
      <c r="E3" s="21">
        <v>60</v>
      </c>
      <c r="F3" s="14">
        <f t="shared" si="2"/>
        <v>100.89339464913093</v>
      </c>
      <c r="G3" s="21">
        <v>403.6</v>
      </c>
      <c r="H3" s="21">
        <v>304.89999999999998</v>
      </c>
      <c r="I3" s="21">
        <v>45.9</v>
      </c>
      <c r="J3" s="43">
        <f t="shared" si="3"/>
        <v>290.83018621026861</v>
      </c>
      <c r="K3" s="13">
        <f t="shared" ref="K2:K7" si="14">G3/1.12/1000</f>
        <v>0.36035714285714282</v>
      </c>
      <c r="L3" s="13">
        <f t="shared" si="4"/>
        <v>0.27223214285714281</v>
      </c>
      <c r="M3" s="13">
        <f t="shared" si="5"/>
        <v>45.9</v>
      </c>
      <c r="N3" s="13">
        <f t="shared" si="6"/>
        <v>0.25966980911631121</v>
      </c>
      <c r="O3" s="16">
        <f t="shared" si="7"/>
        <v>4.0330190883688777E-2</v>
      </c>
      <c r="P3" s="16">
        <f t="shared" si="8"/>
        <v>0.59960317460317469</v>
      </c>
      <c r="Q3" s="16">
        <f t="shared" si="8"/>
        <v>0.65701973862942442</v>
      </c>
      <c r="R3" s="16">
        <f t="shared" si="9"/>
        <v>-26.793394649130924</v>
      </c>
      <c r="S3" s="16">
        <f t="shared" si="10"/>
        <v>0.5396428571428572</v>
      </c>
      <c r="T3" s="16">
        <f t="shared" si="10"/>
        <v>0.52149325046223427</v>
      </c>
      <c r="U3" s="6">
        <f t="shared" si="11"/>
        <v>1.8149606680622932E-2</v>
      </c>
      <c r="V3" s="35">
        <f t="shared" si="12"/>
        <v>1.1338934190276819</v>
      </c>
      <c r="W3" s="4">
        <f t="shared" si="13"/>
        <v>24.529220779220783</v>
      </c>
      <c r="X3" s="4">
        <f t="shared" si="13"/>
        <v>23.704238657374287</v>
      </c>
    </row>
    <row r="4" spans="1:24">
      <c r="A4" s="18">
        <v>0.3</v>
      </c>
      <c r="B4" s="18">
        <v>0.9</v>
      </c>
      <c r="C4" s="19">
        <f t="shared" si="0"/>
        <v>0.94868329805051377</v>
      </c>
      <c r="D4" s="20">
        <f t="shared" si="1"/>
        <v>18.434948822921996</v>
      </c>
      <c r="E4" s="18">
        <v>90</v>
      </c>
      <c r="F4" s="20">
        <f t="shared" si="2"/>
        <v>71.565051177078004</v>
      </c>
      <c r="G4" s="18">
        <v>403</v>
      </c>
      <c r="H4" s="18">
        <v>466.3</v>
      </c>
      <c r="I4" s="18">
        <v>42.1</v>
      </c>
      <c r="J4" s="48">
        <f t="shared" si="3"/>
        <v>317.77684351534248</v>
      </c>
      <c r="K4" s="19">
        <f t="shared" si="14"/>
        <v>0.35982142857142857</v>
      </c>
      <c r="L4" s="19">
        <f t="shared" si="4"/>
        <v>0.41633928571428569</v>
      </c>
      <c r="M4" s="19">
        <f t="shared" si="5"/>
        <v>42.1</v>
      </c>
      <c r="N4" s="19">
        <f t="shared" si="6"/>
        <v>0.28372932456727007</v>
      </c>
      <c r="O4" s="24">
        <f t="shared" si="7"/>
        <v>1.627067543272992E-2</v>
      </c>
      <c r="P4" s="24">
        <f t="shared" si="8"/>
        <v>0.60019841269841268</v>
      </c>
      <c r="Q4" s="24">
        <f t="shared" si="8"/>
        <v>0.56113985924508469</v>
      </c>
      <c r="R4" s="24">
        <f t="shared" si="9"/>
        <v>-23.665051177078006</v>
      </c>
      <c r="S4" s="24">
        <f t="shared" si="10"/>
        <v>0.5401785714285714</v>
      </c>
      <c r="T4" s="16">
        <f t="shared" si="10"/>
        <v>0.53234401233622808</v>
      </c>
      <c r="U4" s="6">
        <f t="shared" si="11"/>
        <v>7.8345590923433184E-3</v>
      </c>
      <c r="V4" s="35">
        <f t="shared" si="12"/>
        <v>0.94868329805051388</v>
      </c>
      <c r="W4" s="4">
        <f t="shared" si="13"/>
        <v>24.553571428571431</v>
      </c>
      <c r="X4" s="4">
        <f t="shared" si="13"/>
        <v>24.197455106192184</v>
      </c>
    </row>
    <row r="5" spans="1:24">
      <c r="A5" s="18">
        <v>0.6</v>
      </c>
      <c r="B5" s="18">
        <v>0.3</v>
      </c>
      <c r="C5" s="19">
        <f t="shared" si="0"/>
        <v>0.37179410247824268</v>
      </c>
      <c r="D5" s="20">
        <f t="shared" si="1"/>
        <v>126.20602311300313</v>
      </c>
      <c r="E5" s="18">
        <v>30</v>
      </c>
      <c r="F5" s="20">
        <f t="shared" si="2"/>
        <v>23.793976886996873</v>
      </c>
      <c r="G5" s="18">
        <v>302.10000000000002</v>
      </c>
      <c r="H5" s="18">
        <v>361.5</v>
      </c>
      <c r="I5" s="18">
        <v>132.69999999999999</v>
      </c>
      <c r="J5" s="48">
        <f t="shared" si="3"/>
        <v>608.33308493057098</v>
      </c>
      <c r="K5" s="13">
        <f t="shared" si="14"/>
        <v>0.26973214285714281</v>
      </c>
      <c r="L5" s="13">
        <f t="shared" si="4"/>
        <v>0.32276785714285711</v>
      </c>
      <c r="M5" s="13">
        <f t="shared" si="5"/>
        <v>132.69999999999999</v>
      </c>
      <c r="N5" s="13">
        <f t="shared" si="6"/>
        <v>0.54315454011658115</v>
      </c>
      <c r="O5" s="16">
        <f t="shared" si="7"/>
        <v>5.6845459883418825E-2</v>
      </c>
      <c r="P5" s="16">
        <f t="shared" si="8"/>
        <v>0.10089285714285727</v>
      </c>
      <c r="Q5" s="16">
        <f t="shared" si="8"/>
        <v>0.13186396720280033</v>
      </c>
      <c r="R5" s="16">
        <f t="shared" si="9"/>
        <v>-6.4939768869968617</v>
      </c>
      <c r="S5" s="16">
        <f t="shared" si="10"/>
        <v>3.026785714285718E-2</v>
      </c>
      <c r="T5" s="16">
        <f t="shared" si="10"/>
        <v>4.9026245335385576E-2</v>
      </c>
      <c r="U5" s="6">
        <f t="shared" si="11"/>
        <v>1.8758388192528397E-2</v>
      </c>
      <c r="V5" s="35">
        <f t="shared" si="12"/>
        <v>0.80689822135507361</v>
      </c>
      <c r="W5" s="4">
        <f t="shared" si="13"/>
        <v>1.37581168831169</v>
      </c>
      <c r="X5" s="4">
        <f t="shared" si="13"/>
        <v>2.2284656970629806</v>
      </c>
    </row>
    <row r="6" spans="1:24">
      <c r="A6" s="18">
        <v>0.6</v>
      </c>
      <c r="B6" s="18">
        <v>0.3</v>
      </c>
      <c r="C6" s="19">
        <f t="shared" si="0"/>
        <v>0.51961524227066314</v>
      </c>
      <c r="D6" s="20">
        <f t="shared" si="1"/>
        <v>90</v>
      </c>
      <c r="E6" s="18">
        <v>60</v>
      </c>
      <c r="F6" s="20">
        <f t="shared" si="2"/>
        <v>29.999999999999993</v>
      </c>
      <c r="G6" s="18">
        <v>289.10000000000002</v>
      </c>
      <c r="H6" s="18">
        <v>469.9</v>
      </c>
      <c r="I6" s="18">
        <v>110.6</v>
      </c>
      <c r="J6" s="48">
        <f t="shared" si="3"/>
        <v>632.43881272140516</v>
      </c>
      <c r="K6" s="13">
        <f t="shared" si="14"/>
        <v>0.25812499999999999</v>
      </c>
      <c r="L6" s="13">
        <f t="shared" si="4"/>
        <v>0.41955357142857141</v>
      </c>
      <c r="M6" s="13">
        <f t="shared" si="5"/>
        <v>110.6</v>
      </c>
      <c r="N6" s="13">
        <f t="shared" si="6"/>
        <v>0.56467751135839739</v>
      </c>
      <c r="O6" s="16">
        <f t="shared" si="7"/>
        <v>3.532248864160259E-2</v>
      </c>
      <c r="P6" s="16">
        <f t="shared" si="8"/>
        <v>0.13958333333333334</v>
      </c>
      <c r="Q6" s="16">
        <f t="shared" si="8"/>
        <v>0.19256877532081795</v>
      </c>
      <c r="R6" s="16">
        <f t="shared" si="9"/>
        <v>-20.599999999999994</v>
      </c>
      <c r="S6" s="16">
        <f t="shared" si="10"/>
        <v>4.1874999999999996E-2</v>
      </c>
      <c r="T6" s="16">
        <f t="shared" si="10"/>
        <v>0.10006167084209172</v>
      </c>
      <c r="U6" s="6">
        <f t="shared" si="11"/>
        <v>5.8186670842091726E-2</v>
      </c>
      <c r="V6" s="35">
        <f t="shared" si="12"/>
        <v>0.57735026918962584</v>
      </c>
      <c r="W6" s="4">
        <f t="shared" si="13"/>
        <v>1.9034090909090906</v>
      </c>
      <c r="X6" s="4">
        <f t="shared" si="13"/>
        <v>4.5482577655496232</v>
      </c>
    </row>
    <row r="7" spans="1:24">
      <c r="A7" s="18">
        <v>0.6</v>
      </c>
      <c r="B7" s="18">
        <v>0.3</v>
      </c>
      <c r="C7" s="19">
        <f t="shared" si="0"/>
        <v>0.67082039324993692</v>
      </c>
      <c r="D7" s="20">
        <f t="shared" si="1"/>
        <v>63.434948822922024</v>
      </c>
      <c r="E7" s="18">
        <v>90</v>
      </c>
      <c r="F7" s="20">
        <f t="shared" si="2"/>
        <v>26.565051177077979</v>
      </c>
      <c r="G7" s="18">
        <v>250.5</v>
      </c>
      <c r="H7" s="18">
        <v>570.79999999999995</v>
      </c>
      <c r="I7" s="18">
        <v>85.5</v>
      </c>
      <c r="J7" s="47">
        <f t="shared" si="3"/>
        <v>605.0833658492287</v>
      </c>
      <c r="K7" s="19">
        <f t="shared" si="14"/>
        <v>0.22366071428571427</v>
      </c>
      <c r="L7" s="19">
        <f t="shared" si="4"/>
        <v>0.50964285714285706</v>
      </c>
      <c r="M7" s="19">
        <f t="shared" si="5"/>
        <v>85.5</v>
      </c>
      <c r="N7" s="19">
        <f t="shared" si="6"/>
        <v>0.54025300522252551</v>
      </c>
      <c r="O7" s="24">
        <f t="shared" si="7"/>
        <v>5.9746994777474471E-2</v>
      </c>
      <c r="P7" s="24">
        <f t="shared" si="8"/>
        <v>0.25446428571428575</v>
      </c>
      <c r="Q7" s="24">
        <f t="shared" si="8"/>
        <v>0.24026928478757159</v>
      </c>
      <c r="R7" s="24">
        <f t="shared" si="9"/>
        <v>-22.065051177077976</v>
      </c>
      <c r="S7" s="16">
        <f t="shared" si="10"/>
        <v>7.6339285714285721E-2</v>
      </c>
      <c r="T7" s="16">
        <f t="shared" si="10"/>
        <v>0.16117753610707986</v>
      </c>
      <c r="U7" s="6">
        <f t="shared" si="11"/>
        <v>8.4838250392794134E-2</v>
      </c>
      <c r="V7" s="35">
        <f t="shared" si="12"/>
        <v>0.44721359549995793</v>
      </c>
      <c r="W7" s="4">
        <f t="shared" si="13"/>
        <v>3.4699675324675328</v>
      </c>
      <c r="X7" s="4">
        <f t="shared" si="13"/>
        <v>7.3262516412309022</v>
      </c>
    </row>
    <row r="8" spans="1:24">
      <c r="A8" s="7">
        <v>0.6</v>
      </c>
      <c r="B8" s="7">
        <v>0.6</v>
      </c>
      <c r="C8" s="8">
        <f t="shared" si="0"/>
        <v>0.31058285412302489</v>
      </c>
      <c r="D8" s="9">
        <f t="shared" si="1"/>
        <v>75</v>
      </c>
      <c r="E8" s="7">
        <v>30</v>
      </c>
      <c r="F8" s="9">
        <f t="shared" si="2"/>
        <v>75</v>
      </c>
      <c r="G8" s="10">
        <v>541.01528560003703</v>
      </c>
      <c r="H8" s="10">
        <v>275.56394598851972</v>
      </c>
      <c r="I8" s="10">
        <v>94</v>
      </c>
      <c r="J8" s="47">
        <f t="shared" si="3"/>
        <v>624.04504538302615</v>
      </c>
      <c r="K8" s="8">
        <f t="shared" ref="K8:K22" si="15">G8/1.12/1000</f>
        <v>0.48304936214289018</v>
      </c>
      <c r="L8" s="8">
        <f t="shared" si="4"/>
        <v>0.24603923748974973</v>
      </c>
      <c r="M8" s="8">
        <f t="shared" ref="M8:M22" si="16">I8</f>
        <v>94</v>
      </c>
      <c r="N8" s="13">
        <f t="shared" si="6"/>
        <v>0.55718307623484475</v>
      </c>
      <c r="O8" s="11">
        <f t="shared" si="7"/>
        <v>4.2816923765155224E-2</v>
      </c>
      <c r="P8" s="11">
        <f t="shared" si="8"/>
        <v>0.19491772976184968</v>
      </c>
      <c r="Q8" s="11">
        <f t="shared" si="8"/>
        <v>0.20781448742727052</v>
      </c>
      <c r="R8" s="11">
        <f t="shared" si="9"/>
        <v>-19</v>
      </c>
      <c r="S8" s="16">
        <f t="shared" si="10"/>
        <v>0.1169506378571098</v>
      </c>
      <c r="T8" s="16">
        <f t="shared" si="10"/>
        <v>6.4543616633275153E-2</v>
      </c>
      <c r="U8" s="6">
        <f t="shared" si="11"/>
        <v>5.2407021223834643E-2</v>
      </c>
      <c r="V8" s="35">
        <f t="shared" si="12"/>
        <v>1.9318516525781366</v>
      </c>
      <c r="W8" s="4">
        <f t="shared" si="13"/>
        <v>5.315938084414082</v>
      </c>
      <c r="X8" s="4">
        <f t="shared" si="13"/>
        <v>2.9338007560579613</v>
      </c>
    </row>
    <row r="9" spans="1:24">
      <c r="A9" s="7">
        <v>0.6</v>
      </c>
      <c r="B9" s="7">
        <v>0.6</v>
      </c>
      <c r="C9" s="8">
        <f t="shared" si="0"/>
        <v>0.6</v>
      </c>
      <c r="D9" s="9">
        <f t="shared" si="1"/>
        <v>60.000000000000007</v>
      </c>
      <c r="E9" s="7">
        <v>60</v>
      </c>
      <c r="F9" s="9">
        <f t="shared" si="2"/>
        <v>59.999999999999993</v>
      </c>
      <c r="G9" s="10">
        <v>477.27357598412522</v>
      </c>
      <c r="H9" s="10">
        <v>543.66549568787696</v>
      </c>
      <c r="I9" s="10">
        <v>73.2</v>
      </c>
      <c r="J9" s="47">
        <f t="shared" si="3"/>
        <v>611.03840228558977</v>
      </c>
      <c r="K9" s="8">
        <f t="shared" si="15"/>
        <v>0.42613712141439747</v>
      </c>
      <c r="L9" s="8">
        <f t="shared" si="4"/>
        <v>0.48541562114989012</v>
      </c>
      <c r="M9" s="8">
        <f t="shared" si="16"/>
        <v>73.2</v>
      </c>
      <c r="N9" s="19">
        <f t="shared" si="6"/>
        <v>0.54557000204070505</v>
      </c>
      <c r="O9" s="11">
        <f t="shared" si="7"/>
        <v>5.4429997959294929E-2</v>
      </c>
      <c r="P9" s="11">
        <f t="shared" si="8"/>
        <v>0.28977146430933753</v>
      </c>
      <c r="Q9" s="11">
        <f t="shared" si="8"/>
        <v>0.19097396475018311</v>
      </c>
      <c r="R9" s="11">
        <f t="shared" si="9"/>
        <v>-13.199999999999996</v>
      </c>
      <c r="S9" s="16">
        <f t="shared" si="10"/>
        <v>0.17386287858560251</v>
      </c>
      <c r="T9" s="16">
        <f t="shared" si="10"/>
        <v>0.11458437885010986</v>
      </c>
      <c r="U9" s="6">
        <f t="shared" si="11"/>
        <v>5.9278499735492651E-2</v>
      </c>
      <c r="V9" s="35">
        <f t="shared" si="12"/>
        <v>1</v>
      </c>
      <c r="W9" s="4">
        <f t="shared" si="13"/>
        <v>7.9028581175273871</v>
      </c>
      <c r="X9" s="4">
        <f t="shared" si="13"/>
        <v>5.2083808568231751</v>
      </c>
    </row>
    <row r="10" spans="1:24">
      <c r="A10" s="7">
        <v>0.6</v>
      </c>
      <c r="B10" s="7">
        <v>0.6</v>
      </c>
      <c r="C10" s="8">
        <f t="shared" si="0"/>
        <v>0.84852813742385702</v>
      </c>
      <c r="D10" s="9">
        <f t="shared" si="1"/>
        <v>45.000000000000014</v>
      </c>
      <c r="E10" s="7">
        <v>90</v>
      </c>
      <c r="F10" s="9">
        <f t="shared" si="2"/>
        <v>44.999999999999986</v>
      </c>
      <c r="G10" s="10">
        <v>491.82206607203221</v>
      </c>
      <c r="H10" s="10">
        <v>727.25964046123761</v>
      </c>
      <c r="I10" s="10">
        <v>56.7</v>
      </c>
      <c r="J10" s="47">
        <f t="shared" si="3"/>
        <v>614.85282626859441</v>
      </c>
      <c r="K10" s="8">
        <f t="shared" si="15"/>
        <v>0.43912684470717156</v>
      </c>
      <c r="L10" s="8">
        <f t="shared" si="4"/>
        <v>0.64933896469753349</v>
      </c>
      <c r="M10" s="8">
        <f t="shared" si="16"/>
        <v>56.7</v>
      </c>
      <c r="N10" s="13">
        <f t="shared" si="6"/>
        <v>0.54897573773981645</v>
      </c>
      <c r="O10" s="11">
        <f t="shared" si="7"/>
        <v>5.1024262260183528E-2</v>
      </c>
      <c r="P10" s="11">
        <f t="shared" si="8"/>
        <v>0.26812192548804736</v>
      </c>
      <c r="Q10" s="11">
        <f t="shared" si="8"/>
        <v>0.23474669128953646</v>
      </c>
      <c r="R10" s="11">
        <f t="shared" si="9"/>
        <v>-11.699999999999989</v>
      </c>
      <c r="S10" s="16">
        <f t="shared" si="10"/>
        <v>0.16087315529282842</v>
      </c>
      <c r="T10" s="16">
        <f t="shared" si="10"/>
        <v>0.19918917272632353</v>
      </c>
      <c r="U10" s="6">
        <f t="shared" si="11"/>
        <v>3.8316017433495109E-2</v>
      </c>
      <c r="V10" s="35">
        <f t="shared" si="12"/>
        <v>0.70710678118654746</v>
      </c>
      <c r="W10" s="4">
        <f t="shared" si="13"/>
        <v>7.3124161496740188</v>
      </c>
      <c r="X10" s="4">
        <f t="shared" si="13"/>
        <v>9.054053305741979</v>
      </c>
    </row>
    <row r="11" spans="1:24">
      <c r="A11" s="2">
        <v>0.6</v>
      </c>
      <c r="B11" s="2">
        <v>0.9</v>
      </c>
      <c r="C11" s="3">
        <f t="shared" si="0"/>
        <v>0.48445078585219159</v>
      </c>
      <c r="D11" s="4">
        <f t="shared" si="1"/>
        <v>38.261966199709804</v>
      </c>
      <c r="E11" s="2">
        <v>30</v>
      </c>
      <c r="F11" s="4">
        <f t="shared" si="2"/>
        <v>111.7380338002902</v>
      </c>
      <c r="G11" s="5">
        <v>690.97886663843224</v>
      </c>
      <c r="H11" s="5">
        <v>311.02863214216319</v>
      </c>
      <c r="I11" s="5">
        <v>60.6</v>
      </c>
      <c r="J11" s="43">
        <f t="shared" si="3"/>
        <v>602.64933225422703</v>
      </c>
      <c r="K11" s="3">
        <f t="shared" si="15"/>
        <v>0.6169454166414573</v>
      </c>
      <c r="L11" s="3">
        <f t="shared" si="4"/>
        <v>0.27770413584121711</v>
      </c>
      <c r="M11" s="3">
        <f t="shared" si="16"/>
        <v>60.6</v>
      </c>
      <c r="N11" s="13">
        <f t="shared" si="6"/>
        <v>0.53807976094127408</v>
      </c>
      <c r="O11" s="6">
        <f t="shared" si="7"/>
        <v>6.1920239058725901E-2</v>
      </c>
      <c r="P11" s="6">
        <f t="shared" si="8"/>
        <v>0.314505092620603</v>
      </c>
      <c r="Q11" s="6">
        <f t="shared" si="8"/>
        <v>0.42676502144028711</v>
      </c>
      <c r="R11" s="6">
        <f t="shared" si="9"/>
        <v>-22.338033800290198</v>
      </c>
      <c r="S11" s="16">
        <f t="shared" si="10"/>
        <v>0.28305458335854272</v>
      </c>
      <c r="T11" s="16">
        <f t="shared" si="10"/>
        <v>0.20674665001097448</v>
      </c>
      <c r="U11" s="6">
        <f t="shared" si="11"/>
        <v>7.6307933347568246E-2</v>
      </c>
      <c r="V11" s="35">
        <f t="shared" si="12"/>
        <v>1.8577738467630325</v>
      </c>
      <c r="W11" s="4">
        <f t="shared" si="13"/>
        <v>12.866117425388307</v>
      </c>
      <c r="X11" s="4">
        <f t="shared" si="13"/>
        <v>9.3975750004988399</v>
      </c>
    </row>
    <row r="12" spans="1:24">
      <c r="A12" s="44">
        <v>0.6</v>
      </c>
      <c r="B12" s="44">
        <v>0.9</v>
      </c>
      <c r="C12" s="45">
        <f t="shared" si="0"/>
        <v>0.79372539331937708</v>
      </c>
      <c r="D12" s="46">
        <f t="shared" si="1"/>
        <v>40.893394649130897</v>
      </c>
      <c r="E12" s="44">
        <v>60</v>
      </c>
      <c r="F12" s="14">
        <f t="shared" si="2"/>
        <v>79.106605350869103</v>
      </c>
      <c r="G12" s="15">
        <v>738.75230439739164</v>
      </c>
      <c r="H12" s="15">
        <v>670.41440583420058</v>
      </c>
      <c r="I12" s="15">
        <v>51.7</v>
      </c>
      <c r="J12" s="43">
        <f>SQRT(POWER(H12, 2) + POWER(G12, 2) - 2 * G12 * H12 * COS(RADIANS(I12)))</f>
        <v>617.49031457095771</v>
      </c>
      <c r="K12" s="13">
        <f t="shared" si="15"/>
        <v>0.65960027178338532</v>
      </c>
      <c r="L12" s="13">
        <f t="shared" si="4"/>
        <v>0.59858429092339327</v>
      </c>
      <c r="M12" s="13">
        <f t="shared" si="16"/>
        <v>51.7</v>
      </c>
      <c r="N12" s="13">
        <f>J12/1.12/1000</f>
        <v>0.55133063800978355</v>
      </c>
      <c r="O12" s="16">
        <f t="shared" si="7"/>
        <v>4.8669361990216431E-2</v>
      </c>
      <c r="P12" s="16">
        <f t="shared" si="8"/>
        <v>0.26711080912957191</v>
      </c>
      <c r="Q12" s="16">
        <f t="shared" si="8"/>
        <v>0.24585467976512559</v>
      </c>
      <c r="R12" s="16">
        <f t="shared" si="9"/>
        <v>-10.806605350869106</v>
      </c>
      <c r="S12" s="16">
        <f t="shared" si="10"/>
        <v>0.24039972821661471</v>
      </c>
      <c r="T12" s="16">
        <f t="shared" si="10"/>
        <v>0.19514110239598381</v>
      </c>
      <c r="U12" s="6">
        <f t="shared" si="11"/>
        <v>4.5258625820630893E-2</v>
      </c>
      <c r="V12" s="35">
        <f t="shared" si="12"/>
        <v>1.1338934190276819</v>
      </c>
      <c r="W12" s="4">
        <f t="shared" si="13"/>
        <v>10.927260373482486</v>
      </c>
      <c r="X12" s="4">
        <f t="shared" si="13"/>
        <v>8.8700501089083552</v>
      </c>
    </row>
    <row r="13" spans="1:24">
      <c r="A13" s="7">
        <v>0.6</v>
      </c>
      <c r="B13" s="7">
        <v>0.9</v>
      </c>
      <c r="C13" s="8">
        <f t="shared" si="0"/>
        <v>1.0816653826391966</v>
      </c>
      <c r="D13" s="9">
        <f t="shared" si="1"/>
        <v>33.690067525979785</v>
      </c>
      <c r="E13" s="7">
        <v>90</v>
      </c>
      <c r="F13" s="9">
        <f t="shared" si="2"/>
        <v>56.309932474020215</v>
      </c>
      <c r="G13" s="10">
        <v>743.768810062287</v>
      </c>
      <c r="H13" s="10">
        <v>922.68407285278556</v>
      </c>
      <c r="I13" s="10">
        <v>43.9</v>
      </c>
      <c r="J13" s="43">
        <f t="shared" si="3"/>
        <v>644.64090081976747</v>
      </c>
      <c r="K13" s="8">
        <f t="shared" si="15"/>
        <v>0.66407929469847049</v>
      </c>
      <c r="L13" s="8">
        <f t="shared" si="4"/>
        <v>0.82382506504712993</v>
      </c>
      <c r="M13" s="8">
        <f t="shared" si="16"/>
        <v>43.9</v>
      </c>
      <c r="N13" s="13">
        <f t="shared" si="6"/>
        <v>0.57557223287479231</v>
      </c>
      <c r="O13" s="11">
        <f t="shared" si="7"/>
        <v>2.4427767125207667E-2</v>
      </c>
      <c r="P13" s="11">
        <f t="shared" ref="P13:Q22" si="17">(B13-K13)/B13</f>
        <v>0.26213411700169947</v>
      </c>
      <c r="Q13" s="11">
        <f t="shared" si="17"/>
        <v>0.23837345793849138</v>
      </c>
      <c r="R13" s="11">
        <f t="shared" si="9"/>
        <v>-10.209932474020214</v>
      </c>
      <c r="S13" s="16">
        <f t="shared" si="10"/>
        <v>0.23592070530152953</v>
      </c>
      <c r="T13" s="16">
        <f t="shared" si="10"/>
        <v>0.25784031759206671</v>
      </c>
      <c r="U13" s="6">
        <f t="shared" si="11"/>
        <v>2.1919612290537183E-2</v>
      </c>
      <c r="V13" s="35">
        <f t="shared" si="12"/>
        <v>0.83205029433784383</v>
      </c>
      <c r="W13" s="4">
        <f t="shared" si="13"/>
        <v>10.723668422796797</v>
      </c>
      <c r="X13" s="4">
        <f t="shared" si="13"/>
        <v>11.720014436003032</v>
      </c>
    </row>
    <row r="14" spans="1:24">
      <c r="A14" s="22">
        <v>0.9</v>
      </c>
      <c r="B14" s="22">
        <v>0.3</v>
      </c>
      <c r="C14" s="19">
        <f t="shared" si="0"/>
        <v>0.65753044184767828</v>
      </c>
      <c r="D14" s="20">
        <f t="shared" si="1"/>
        <v>136.81321456798648</v>
      </c>
      <c r="E14" s="22">
        <v>30</v>
      </c>
      <c r="F14" s="20">
        <f t="shared" si="2"/>
        <v>13.186785432013524</v>
      </c>
      <c r="G14" s="23">
        <v>306</v>
      </c>
      <c r="H14" s="23">
        <v>651.20000000000005</v>
      </c>
      <c r="I14" s="23">
        <v>143.5</v>
      </c>
      <c r="J14" s="43">
        <f>SQRT(POWER(H14, 2) + POWER(G14, 2) - 2 * G14 * H14 * COS(RADIANS(I14)))</f>
        <v>915.45729099284927</v>
      </c>
      <c r="K14" s="19">
        <f t="shared" si="15"/>
        <v>0.27321428571428569</v>
      </c>
      <c r="L14" s="19">
        <f t="shared" si="4"/>
        <v>0.58142857142857141</v>
      </c>
      <c r="M14" s="19">
        <f t="shared" si="16"/>
        <v>143.5</v>
      </c>
      <c r="N14" s="13">
        <f>J14/1.12/1000</f>
        <v>0.81737258124361534</v>
      </c>
      <c r="O14" s="11">
        <f t="shared" si="7"/>
        <v>8.2627418756384685E-2</v>
      </c>
      <c r="P14" s="24">
        <f t="shared" si="17"/>
        <v>8.9285714285714343E-2</v>
      </c>
      <c r="Q14" s="24">
        <f t="shared" si="17"/>
        <v>0.11573893096912527</v>
      </c>
      <c r="R14" s="24">
        <f t="shared" si="9"/>
        <v>-6.6867854320135223</v>
      </c>
      <c r="S14" s="16">
        <f t="shared" si="10"/>
        <v>2.6785714285714302E-2</v>
      </c>
      <c r="T14" s="16">
        <f t="shared" si="10"/>
        <v>7.6101870419106876E-2</v>
      </c>
      <c r="U14" s="6">
        <f t="shared" si="11"/>
        <v>4.9316156133392575E-2</v>
      </c>
      <c r="V14" s="35">
        <f t="shared" si="12"/>
        <v>0.45625264004050048</v>
      </c>
      <c r="W14" s="4">
        <f t="shared" si="13"/>
        <v>1.2175324675324684</v>
      </c>
      <c r="X14" s="4">
        <f t="shared" si="13"/>
        <v>3.4591759281412213</v>
      </c>
    </row>
    <row r="15" spans="1:24">
      <c r="A15" s="22">
        <v>0.9</v>
      </c>
      <c r="B15" s="22">
        <v>0.3</v>
      </c>
      <c r="C15" s="19">
        <f t="shared" si="0"/>
        <v>0.79372539331937708</v>
      </c>
      <c r="D15" s="20">
        <f t="shared" si="1"/>
        <v>100.89339464913091</v>
      </c>
      <c r="E15" s="22">
        <v>60</v>
      </c>
      <c r="F15" s="20">
        <f t="shared" si="2"/>
        <v>19.106605350869092</v>
      </c>
      <c r="G15" s="23">
        <v>315.3</v>
      </c>
      <c r="H15" s="23">
        <v>768.2</v>
      </c>
      <c r="I15" s="23">
        <v>112.1</v>
      </c>
      <c r="J15" s="43">
        <f t="shared" si="3"/>
        <v>933.7014999569576</v>
      </c>
      <c r="K15" s="19">
        <f t="shared" si="15"/>
        <v>0.2815178571428571</v>
      </c>
      <c r="L15" s="19">
        <f t="shared" si="4"/>
        <v>0.68589285714285708</v>
      </c>
      <c r="M15" s="19">
        <f t="shared" si="16"/>
        <v>112.1</v>
      </c>
      <c r="N15" s="13">
        <f t="shared" si="6"/>
        <v>0.83366205353299783</v>
      </c>
      <c r="O15" s="11">
        <f t="shared" si="7"/>
        <v>6.6337946467002196E-2</v>
      </c>
      <c r="P15" s="24">
        <f t="shared" si="17"/>
        <v>6.1607142857142971E-2</v>
      </c>
      <c r="Q15" s="24">
        <f t="shared" si="17"/>
        <v>0.13585622569735606</v>
      </c>
      <c r="R15" s="24">
        <f t="shared" si="9"/>
        <v>-11.206605350869083</v>
      </c>
      <c r="S15" s="16">
        <f t="shared" si="10"/>
        <v>1.8482142857142891E-2</v>
      </c>
      <c r="T15" s="16">
        <f t="shared" si="10"/>
        <v>0.10783253617652</v>
      </c>
      <c r="U15" s="6">
        <f t="shared" si="11"/>
        <v>8.9350393319377108E-2</v>
      </c>
      <c r="V15" s="35">
        <f t="shared" si="12"/>
        <v>0.37796447300922725</v>
      </c>
      <c r="W15" s="4">
        <f t="shared" si="13"/>
        <v>0.84009740259740406</v>
      </c>
      <c r="X15" s="4">
        <f t="shared" si="13"/>
        <v>4.9014789171145452</v>
      </c>
    </row>
    <row r="16" spans="1:24">
      <c r="A16" s="22">
        <v>0.9</v>
      </c>
      <c r="B16" s="22">
        <v>0.3</v>
      </c>
      <c r="C16" s="19">
        <f t="shared" si="0"/>
        <v>0.94868329805051377</v>
      </c>
      <c r="D16" s="20">
        <f t="shared" si="1"/>
        <v>71.565051177077976</v>
      </c>
      <c r="E16" s="22">
        <v>90</v>
      </c>
      <c r="F16" s="20">
        <f t="shared" si="2"/>
        <v>18.434948822922021</v>
      </c>
      <c r="G16" s="23">
        <v>275.5</v>
      </c>
      <c r="H16" s="23">
        <v>904.5</v>
      </c>
      <c r="I16" s="23">
        <v>89.4</v>
      </c>
      <c r="J16" s="43">
        <f t="shared" si="3"/>
        <v>942.76273657163472</v>
      </c>
      <c r="K16" s="19">
        <f t="shared" si="15"/>
        <v>0.24598214285714284</v>
      </c>
      <c r="L16" s="19">
        <f t="shared" si="4"/>
        <v>0.80758928571428568</v>
      </c>
      <c r="M16" s="19">
        <f t="shared" si="16"/>
        <v>89.4</v>
      </c>
      <c r="N16" s="13">
        <f t="shared" si="6"/>
        <v>0.84175244336753086</v>
      </c>
      <c r="O16" s="11">
        <f t="shared" si="7"/>
        <v>5.8247556632469166E-2</v>
      </c>
      <c r="P16" s="24">
        <f t="shared" si="17"/>
        <v>0.18005952380952384</v>
      </c>
      <c r="Q16" s="24">
        <f t="shared" si="17"/>
        <v>0.14872614773145862</v>
      </c>
      <c r="R16" s="24">
        <f t="shared" si="9"/>
        <v>-17.83494882292203</v>
      </c>
      <c r="S16" s="16">
        <f t="shared" si="10"/>
        <v>5.4017857142857145E-2</v>
      </c>
      <c r="T16" s="16">
        <f t="shared" si="10"/>
        <v>0.14109401233622809</v>
      </c>
      <c r="U16" s="6">
        <f t="shared" si="11"/>
        <v>8.7076155193370947E-2</v>
      </c>
      <c r="V16" s="35">
        <f t="shared" si="12"/>
        <v>0.31622776601683794</v>
      </c>
      <c r="W16" s="4">
        <f t="shared" si="13"/>
        <v>2.4553571428571428</v>
      </c>
      <c r="X16" s="4">
        <f t="shared" si="13"/>
        <v>6.4133641971012771</v>
      </c>
    </row>
    <row r="17" spans="1:24">
      <c r="A17" s="12">
        <v>0.9</v>
      </c>
      <c r="B17" s="12">
        <v>0.6</v>
      </c>
      <c r="C17" s="13">
        <f t="shared" si="0"/>
        <v>0.48445078585219159</v>
      </c>
      <c r="D17" s="14">
        <f t="shared" si="1"/>
        <v>111.73803380029017</v>
      </c>
      <c r="E17" s="12">
        <v>30</v>
      </c>
      <c r="F17" s="14">
        <f t="shared" si="2"/>
        <v>38.261966199709839</v>
      </c>
      <c r="G17" s="15">
        <v>611.48514141285239</v>
      </c>
      <c r="H17" s="15">
        <v>490.35440767405089</v>
      </c>
      <c r="I17" s="15">
        <v>115.6</v>
      </c>
      <c r="J17" s="43">
        <f>SQRT(POWER(H17, 2) + POWER(G17, 2) - 2 * G17 * H17 * COS(RADIANS(I17)))</f>
        <v>934.60073675752778</v>
      </c>
      <c r="K17" s="13">
        <f t="shared" si="15"/>
        <v>0.54596887626147528</v>
      </c>
      <c r="L17" s="13">
        <f t="shared" si="4"/>
        <v>0.43781643542325971</v>
      </c>
      <c r="M17" s="13">
        <f>I17</f>
        <v>115.6</v>
      </c>
      <c r="N17" s="13">
        <f>J17/1.12/1000</f>
        <v>0.83446494353350698</v>
      </c>
      <c r="O17" s="16">
        <f t="shared" ref="O17:O22" si="18">A17-N17</f>
        <v>6.5535056466493047E-2</v>
      </c>
      <c r="P17" s="16">
        <f t="shared" si="17"/>
        <v>9.0051872897541171E-2</v>
      </c>
      <c r="Q17" s="16">
        <f t="shared" si="17"/>
        <v>9.6262307319613383E-2</v>
      </c>
      <c r="R17" s="16">
        <f t="shared" si="9"/>
        <v>-3.8619661997098262</v>
      </c>
      <c r="S17" s="16">
        <f t="shared" si="10"/>
        <v>5.40311237385247E-2</v>
      </c>
      <c r="T17" s="16">
        <f t="shared" si="10"/>
        <v>4.6634350428931881E-2</v>
      </c>
      <c r="U17" s="6">
        <f t="shared" si="11"/>
        <v>7.396773309592819E-3</v>
      </c>
      <c r="V17" s="35">
        <f t="shared" si="12"/>
        <v>1.2385158978420217</v>
      </c>
      <c r="W17" s="4">
        <f t="shared" si="13"/>
        <v>2.4559601699329408</v>
      </c>
      <c r="X17" s="4">
        <f t="shared" si="13"/>
        <v>2.1197432013150856</v>
      </c>
    </row>
    <row r="18" spans="1:24">
      <c r="A18" s="44">
        <v>0.9</v>
      </c>
      <c r="B18" s="44">
        <v>0.6</v>
      </c>
      <c r="C18" s="45">
        <f t="shared" si="0"/>
        <v>0.79372539331937708</v>
      </c>
      <c r="D18" s="46">
        <f t="shared" si="1"/>
        <v>79.106605350869103</v>
      </c>
      <c r="E18" s="44">
        <v>60</v>
      </c>
      <c r="F18" s="14">
        <f t="shared" si="2"/>
        <v>40.893394649130897</v>
      </c>
      <c r="G18" s="15">
        <v>592.82232789835393</v>
      </c>
      <c r="H18" s="15">
        <v>786.53802957368021</v>
      </c>
      <c r="I18" s="15">
        <v>86.1</v>
      </c>
      <c r="J18" s="43">
        <f t="shared" si="3"/>
        <v>952.18297163340901</v>
      </c>
      <c r="K18" s="13">
        <f t="shared" si="15"/>
        <v>0.52930564990924445</v>
      </c>
      <c r="L18" s="13">
        <f t="shared" si="4"/>
        <v>0.70226609783364302</v>
      </c>
      <c r="M18" s="13">
        <f t="shared" si="16"/>
        <v>86.1</v>
      </c>
      <c r="N18" s="13">
        <f t="shared" si="6"/>
        <v>0.85016336752982946</v>
      </c>
      <c r="O18" s="16">
        <f t="shared" si="18"/>
        <v>4.9836632470170561E-2</v>
      </c>
      <c r="P18" s="16">
        <f t="shared" si="17"/>
        <v>0.11782391681792589</v>
      </c>
      <c r="Q18" s="16">
        <f t="shared" si="17"/>
        <v>0.11522788140020224</v>
      </c>
      <c r="R18" s="16">
        <f t="shared" si="9"/>
        <v>-6.9933946491308916</v>
      </c>
      <c r="S18" s="16">
        <f t="shared" si="10"/>
        <v>7.0694350090755531E-2</v>
      </c>
      <c r="T18" s="16">
        <f t="shared" si="10"/>
        <v>9.145929548573406E-2</v>
      </c>
      <c r="U18" s="6">
        <f t="shared" si="11"/>
        <v>2.0764945394978529E-2</v>
      </c>
      <c r="V18" s="35">
        <f t="shared" si="12"/>
        <v>0.75592894601845451</v>
      </c>
      <c r="W18" s="4">
        <f t="shared" si="13"/>
        <v>3.213379549579797</v>
      </c>
      <c r="X18" s="4">
        <f t="shared" si="13"/>
        <v>4.1572407038970027</v>
      </c>
    </row>
    <row r="19" spans="1:24">
      <c r="A19" s="12">
        <v>0.9</v>
      </c>
      <c r="B19" s="12">
        <v>0.6</v>
      </c>
      <c r="C19" s="13">
        <f t="shared" si="0"/>
        <v>1.0816653826391966</v>
      </c>
      <c r="D19" s="14">
        <f t="shared" si="1"/>
        <v>56.309932474020208</v>
      </c>
      <c r="E19" s="12">
        <v>90</v>
      </c>
      <c r="F19" s="14">
        <f t="shared" si="2"/>
        <v>33.690067525979792</v>
      </c>
      <c r="G19" s="15">
        <v>562.37292412668842</v>
      </c>
      <c r="H19" s="15">
        <v>1020.51175541957</v>
      </c>
      <c r="I19" s="15">
        <v>66</v>
      </c>
      <c r="J19" s="43">
        <f t="shared" si="3"/>
        <v>943.84775022546216</v>
      </c>
      <c r="K19" s="13">
        <f t="shared" si="15"/>
        <v>0.50211868225597178</v>
      </c>
      <c r="L19" s="13">
        <f t="shared" si="4"/>
        <v>0.91117121019604463</v>
      </c>
      <c r="M19" s="13">
        <f t="shared" si="16"/>
        <v>66</v>
      </c>
      <c r="N19" s="13">
        <f t="shared" si="6"/>
        <v>0.84272120555844832</v>
      </c>
      <c r="O19" s="16">
        <f t="shared" si="18"/>
        <v>5.7278794441551706E-2</v>
      </c>
      <c r="P19" s="16">
        <f t="shared" si="17"/>
        <v>0.16313552957338034</v>
      </c>
      <c r="Q19" s="16">
        <f t="shared" si="17"/>
        <v>0.15762191818245747</v>
      </c>
      <c r="R19" s="16">
        <f t="shared" si="9"/>
        <v>-9.6900675259797922</v>
      </c>
      <c r="S19" s="16">
        <f t="shared" si="10"/>
        <v>9.7881317744028196E-2</v>
      </c>
      <c r="T19" s="16">
        <f t="shared" si="10"/>
        <v>0.17049417244315201</v>
      </c>
      <c r="U19" s="6">
        <f t="shared" si="11"/>
        <v>7.2612854699123819E-2</v>
      </c>
      <c r="V19" s="35">
        <f t="shared" si="12"/>
        <v>0.55470019622522915</v>
      </c>
      <c r="W19" s="4">
        <f t="shared" si="13"/>
        <v>4.4491508065467364</v>
      </c>
      <c r="X19" s="4">
        <f t="shared" si="13"/>
        <v>7.7497351110523649</v>
      </c>
    </row>
    <row r="20" spans="1:24">
      <c r="A20" s="2">
        <v>0.9</v>
      </c>
      <c r="B20" s="2">
        <v>0.9</v>
      </c>
      <c r="C20" s="3">
        <f t="shared" si="0"/>
        <v>0.46587428118453739</v>
      </c>
      <c r="D20" s="4">
        <f t="shared" si="1"/>
        <v>75.000000000000014</v>
      </c>
      <c r="E20" s="2">
        <v>30</v>
      </c>
      <c r="F20" s="4">
        <f t="shared" si="2"/>
        <v>74.999999999999986</v>
      </c>
      <c r="G20" s="5">
        <v>890.06136742765659</v>
      </c>
      <c r="H20" s="5">
        <v>441.01623342257722</v>
      </c>
      <c r="I20" s="5">
        <v>83.6</v>
      </c>
      <c r="J20" s="43">
        <f t="shared" si="3"/>
        <v>948.25862452128206</v>
      </c>
      <c r="K20" s="3">
        <f t="shared" si="15"/>
        <v>0.79469764948897903</v>
      </c>
      <c r="L20" s="3">
        <f t="shared" si="4"/>
        <v>0.39376449412730102</v>
      </c>
      <c r="M20" s="3">
        <f t="shared" si="16"/>
        <v>83.6</v>
      </c>
      <c r="N20" s="13">
        <f t="shared" si="6"/>
        <v>0.84665948617971609</v>
      </c>
      <c r="O20" s="6">
        <f t="shared" si="18"/>
        <v>5.334051382028393E-2</v>
      </c>
      <c r="P20" s="6">
        <f t="shared" si="17"/>
        <v>0.11700261167891221</v>
      </c>
      <c r="Q20" s="6">
        <f t="shared" si="17"/>
        <v>0.15478379032619954</v>
      </c>
      <c r="R20" s="6">
        <f t="shared" si="9"/>
        <v>-8.5999999999999801</v>
      </c>
      <c r="S20" s="16">
        <f t="shared" si="10"/>
        <v>0.10530235051102099</v>
      </c>
      <c r="T20" s="16">
        <f t="shared" si="10"/>
        <v>7.2109787057236363E-2</v>
      </c>
      <c r="U20" s="6">
        <f t="shared" si="11"/>
        <v>3.3192563453784629E-2</v>
      </c>
      <c r="V20" s="35">
        <f t="shared" si="12"/>
        <v>1.9318516525781366</v>
      </c>
      <c r="W20" s="4">
        <f t="shared" si="13"/>
        <v>4.7864704777736815</v>
      </c>
      <c r="X20" s="4">
        <f t="shared" si="13"/>
        <v>3.2777175935107437</v>
      </c>
    </row>
    <row r="21" spans="1:24">
      <c r="A21" s="12">
        <v>0.9</v>
      </c>
      <c r="B21" s="12">
        <v>0.9</v>
      </c>
      <c r="C21" s="13">
        <f t="shared" si="0"/>
        <v>0.89999999999999991</v>
      </c>
      <c r="D21" s="14">
        <f t="shared" si="1"/>
        <v>59.999999999999993</v>
      </c>
      <c r="E21" s="12">
        <v>60</v>
      </c>
      <c r="F21" s="14">
        <f t="shared" si="2"/>
        <v>60.000000000000007</v>
      </c>
      <c r="G21" s="15">
        <v>849.96404426695233</v>
      </c>
      <c r="H21" s="15">
        <v>870.72800223409945</v>
      </c>
      <c r="I21" s="15">
        <v>65.900000000000006</v>
      </c>
      <c r="J21" s="43">
        <f t="shared" si="3"/>
        <v>936.05854300569467</v>
      </c>
      <c r="K21" s="13">
        <f t="shared" si="15"/>
        <v>0.75889646809549316</v>
      </c>
      <c r="L21" s="13">
        <f t="shared" si="4"/>
        <v>0.77743571628044583</v>
      </c>
      <c r="M21" s="13">
        <f t="shared" si="16"/>
        <v>65.900000000000006</v>
      </c>
      <c r="N21" s="13">
        <f t="shared" si="6"/>
        <v>0.83576655625508445</v>
      </c>
      <c r="O21" s="16">
        <f t="shared" si="18"/>
        <v>6.4233443744915575E-2</v>
      </c>
      <c r="P21" s="16">
        <f t="shared" si="17"/>
        <v>0.15678170211611872</v>
      </c>
      <c r="Q21" s="16">
        <f t="shared" si="17"/>
        <v>0.13618253746617121</v>
      </c>
      <c r="R21" s="16">
        <f t="shared" si="9"/>
        <v>-5.9000000000000128</v>
      </c>
      <c r="S21" s="16">
        <f t="shared" si="10"/>
        <v>0.14110353190450686</v>
      </c>
      <c r="T21" s="16">
        <f t="shared" si="10"/>
        <v>0.12256428371955408</v>
      </c>
      <c r="U21" s="6">
        <f t="shared" si="11"/>
        <v>1.8539248184952783E-2</v>
      </c>
      <c r="V21" s="35">
        <f t="shared" si="12"/>
        <v>1.0000000000000002</v>
      </c>
      <c r="W21" s="4">
        <f t="shared" si="13"/>
        <v>6.4137969047503125</v>
      </c>
      <c r="X21" s="4">
        <f t="shared" si="13"/>
        <v>5.5711038054342765</v>
      </c>
    </row>
    <row r="22" spans="1:24">
      <c r="A22" s="7">
        <v>0.9</v>
      </c>
      <c r="B22" s="7">
        <v>0.9</v>
      </c>
      <c r="C22" s="8">
        <f t="shared" si="0"/>
        <v>1.2727922061357855</v>
      </c>
      <c r="D22" s="9">
        <f t="shared" si="1"/>
        <v>44.999999999999979</v>
      </c>
      <c r="E22" s="7">
        <v>90</v>
      </c>
      <c r="F22" s="9">
        <f t="shared" si="2"/>
        <v>45.000000000000021</v>
      </c>
      <c r="G22" s="10">
        <v>822.16526594311813</v>
      </c>
      <c r="H22" s="10">
        <v>1255.8599704382909</v>
      </c>
      <c r="I22" s="10">
        <v>49.4</v>
      </c>
      <c r="J22" s="43">
        <f t="shared" si="3"/>
        <v>953.55094924557648</v>
      </c>
      <c r="K22" s="8">
        <f t="shared" si="15"/>
        <v>0.73407613030635532</v>
      </c>
      <c r="L22" s="8">
        <f t="shared" si="4"/>
        <v>1.1213035450341882</v>
      </c>
      <c r="M22" s="8">
        <f t="shared" si="16"/>
        <v>49.4</v>
      </c>
      <c r="N22" s="13">
        <f t="shared" si="6"/>
        <v>0.85138477611212182</v>
      </c>
      <c r="O22" s="11">
        <f t="shared" si="18"/>
        <v>4.8615223887878201E-2</v>
      </c>
      <c r="P22" s="11">
        <f t="shared" si="17"/>
        <v>0.18435985521516077</v>
      </c>
      <c r="Q22" s="11">
        <f t="shared" si="17"/>
        <v>0.11902073281978914</v>
      </c>
      <c r="R22" s="11">
        <f t="shared" si="9"/>
        <v>-4.4000000000000199</v>
      </c>
      <c r="S22" s="16">
        <f t="shared" si="10"/>
        <v>0.1659238696936447</v>
      </c>
      <c r="T22" s="16">
        <f t="shared" si="10"/>
        <v>0.15148866110159731</v>
      </c>
      <c r="U22" s="6">
        <f t="shared" si="11"/>
        <v>1.4435208592047388E-2</v>
      </c>
      <c r="V22" s="35">
        <f t="shared" si="12"/>
        <v>0.70710678118654757</v>
      </c>
      <c r="W22" s="4">
        <f t="shared" si="13"/>
        <v>7.5419940769838494</v>
      </c>
      <c r="X22" s="4">
        <f t="shared" si="13"/>
        <v>6.8858482318907868</v>
      </c>
    </row>
    <row r="23" spans="1:24">
      <c r="K23" s="38">
        <f>MIN(K2:K22)</f>
        <v>0.22366071428571427</v>
      </c>
      <c r="L23" s="38">
        <f>MIN(L2:L22)</f>
        <v>0.24603923748974973</v>
      </c>
      <c r="M23"/>
      <c r="N23" s="38">
        <f>MIN(N2:N22)</f>
        <v>0.25966980911631121</v>
      </c>
    </row>
    <row r="24" spans="1:24">
      <c r="K24" s="38">
        <f>MAX(K10:K22)</f>
        <v>0.79469764948897903</v>
      </c>
      <c r="L24" s="38">
        <f>MAX(L10:L22)</f>
        <v>1.1213035450341882</v>
      </c>
      <c r="M24"/>
      <c r="N24" s="38">
        <f>MAX(N10:N22)</f>
        <v>0.85138477611212182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09D3-7408-4159-8E4A-ECE063888F9A}">
  <dimension ref="A1:I86"/>
  <sheetViews>
    <sheetView workbookViewId="0">
      <selection activeCell="W56" sqref="W56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0.94203703577538889</v>
      </c>
    </row>
    <row r="5" spans="1:9">
      <c r="A5" t="s">
        <v>23</v>
      </c>
      <c r="B5">
        <v>0.88743377677248136</v>
      </c>
    </row>
    <row r="6" spans="1:9">
      <c r="A6" t="s">
        <v>24</v>
      </c>
      <c r="B6">
        <v>0.85679002939723437</v>
      </c>
    </row>
    <row r="7" spans="1:9">
      <c r="A7" t="s">
        <v>25</v>
      </c>
      <c r="B7">
        <v>4.8289783826700468E-2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0.93758048219982171</v>
      </c>
      <c r="D12">
        <v>0.15626341369997029</v>
      </c>
      <c r="E12">
        <v>80.413327049125357</v>
      </c>
      <c r="F12">
        <v>6.0226691212373193E-24</v>
      </c>
    </row>
    <row r="13" spans="1:9">
      <c r="A13" t="s">
        <v>29</v>
      </c>
      <c r="B13">
        <v>51</v>
      </c>
      <c r="C13">
        <v>0.11892706432350258</v>
      </c>
      <c r="D13">
        <v>2.3319032220294623E-3</v>
      </c>
    </row>
    <row r="14" spans="1:9" ht="15.6" thickBot="1">
      <c r="A14" s="26" t="s">
        <v>30</v>
      </c>
      <c r="B14" s="26">
        <v>57</v>
      </c>
      <c r="C14" s="26">
        <v>1.0565075465233242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-0.17162710537723949</v>
      </c>
      <c r="C17">
        <v>8.9173486839825081E-2</v>
      </c>
      <c r="D17">
        <v>-1.9246427549201814</v>
      </c>
      <c r="E17">
        <v>5.9861255596147418E-2</v>
      </c>
      <c r="F17">
        <v>-0.35065035029934499</v>
      </c>
      <c r="G17">
        <v>7.3961395448660372E-3</v>
      </c>
      <c r="H17">
        <v>-0.35065035029934499</v>
      </c>
      <c r="I17">
        <v>7.3961395448660372E-3</v>
      </c>
    </row>
    <row r="18" spans="1:9">
      <c r="A18" t="s">
        <v>8</v>
      </c>
      <c r="B18">
        <v>-0.51957255427206583</v>
      </c>
      <c r="C18">
        <v>6.3893820722075445E-2</v>
      </c>
      <c r="D18">
        <v>-8.1318122535212929</v>
      </c>
      <c r="E18">
        <v>9.0447786459376314E-11</v>
      </c>
      <c r="F18">
        <v>-0.64784475177717404</v>
      </c>
      <c r="G18">
        <v>-0.39130035676695762</v>
      </c>
      <c r="H18">
        <v>-0.64784475177717404</v>
      </c>
      <c r="I18">
        <v>-0.39130035676695762</v>
      </c>
    </row>
    <row r="19" spans="1:9">
      <c r="A19" t="s">
        <v>10</v>
      </c>
      <c r="B19">
        <v>5.3483931086216636E-2</v>
      </c>
      <c r="C19">
        <v>6.7059028477117713E-2</v>
      </c>
      <c r="D19">
        <v>0.79756495584284737</v>
      </c>
      <c r="E19">
        <v>0.42882089085228181</v>
      </c>
      <c r="F19">
        <v>-8.114268613759229E-2</v>
      </c>
      <c r="G19">
        <v>0.18811054831002555</v>
      </c>
      <c r="H19">
        <v>-8.114268613759229E-2</v>
      </c>
      <c r="I19">
        <v>0.18811054831002555</v>
      </c>
    </row>
    <row r="20" spans="1:9">
      <c r="A20" t="s">
        <v>14</v>
      </c>
      <c r="B20">
        <v>0.40427467123074801</v>
      </c>
      <c r="C20">
        <v>6.7901348521847871E-2</v>
      </c>
      <c r="D20">
        <v>5.953853348003376</v>
      </c>
      <c r="E20">
        <v>2.4223806725700103E-7</v>
      </c>
      <c r="F20">
        <v>0.26795702595572712</v>
      </c>
      <c r="G20">
        <v>0.54059231650576889</v>
      </c>
      <c r="H20">
        <v>0.26795702595572712</v>
      </c>
      <c r="I20">
        <v>0.54059231650576889</v>
      </c>
    </row>
    <row r="21" spans="1:9">
      <c r="A21" t="s">
        <v>46</v>
      </c>
      <c r="B21">
        <v>2.3827308837732516E-3</v>
      </c>
      <c r="C21">
        <v>7.2690064188116828E-4</v>
      </c>
      <c r="D21">
        <v>3.2779320122856266</v>
      </c>
      <c r="E21">
        <v>1.8864939956991533E-3</v>
      </c>
      <c r="F21">
        <v>9.2341695250045528E-4</v>
      </c>
      <c r="G21">
        <v>3.8420448150460482E-3</v>
      </c>
      <c r="H21">
        <v>9.2341695250045528E-4</v>
      </c>
      <c r="I21">
        <v>3.8420448150460482E-3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3.8056060809268399E-3</v>
      </c>
      <c r="C23" s="26">
        <v>7.2427508588305232E-4</v>
      </c>
      <c r="D23" s="26">
        <v>5.2543655789111678</v>
      </c>
      <c r="E23" s="26" t="e">
        <v>#NUM!</v>
      </c>
      <c r="F23" s="26">
        <v>2.3515631732639163E-3</v>
      </c>
      <c r="G23" s="26">
        <v>5.2596489885897635E-3</v>
      </c>
      <c r="H23" s="26">
        <v>2.3515631732639163E-3</v>
      </c>
      <c r="I23" s="26">
        <v>5.2596489885897635E-3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61</v>
      </c>
      <c r="C29" s="27" t="s">
        <v>29</v>
      </c>
      <c r="D29" s="27" t="s">
        <v>55</v>
      </c>
      <c r="F29" s="27" t="s">
        <v>52</v>
      </c>
      <c r="G29" s="27" t="s">
        <v>58</v>
      </c>
    </row>
    <row r="30" spans="1:9">
      <c r="A30">
        <v>1</v>
      </c>
      <c r="B30">
        <v>0.21545197063975918</v>
      </c>
      <c r="C30">
        <v>-9.6344827782616299E-2</v>
      </c>
      <c r="D30">
        <v>-2.1092374965077223</v>
      </c>
      <c r="F30">
        <v>0.8771929824561403</v>
      </c>
      <c r="G30">
        <v>1.8482142857142891E-2</v>
      </c>
    </row>
    <row r="31" spans="1:9">
      <c r="A31">
        <v>2</v>
      </c>
      <c r="B31">
        <v>0.18112892691823559</v>
      </c>
      <c r="C31">
        <v>-4.8718212632521296E-2</v>
      </c>
      <c r="D31">
        <v>-1.0665676945233069</v>
      </c>
      <c r="F31">
        <v>2.6315789473684208</v>
      </c>
      <c r="G31">
        <v>2.6785714285714302E-2</v>
      </c>
    </row>
    <row r="32" spans="1:9">
      <c r="A32">
        <v>3</v>
      </c>
      <c r="B32">
        <v>0.13854068797204419</v>
      </c>
      <c r="C32">
        <v>2.0566454885098673E-2</v>
      </c>
      <c r="D32">
        <v>0.45025289693560078</v>
      </c>
      <c r="F32">
        <v>4.3859649122807012</v>
      </c>
      <c r="G32">
        <v>3.026785714285718E-2</v>
      </c>
    </row>
    <row r="33" spans="1:7">
      <c r="A33">
        <v>4</v>
      </c>
      <c r="B33">
        <v>0.39188347812266572</v>
      </c>
      <c r="C33">
        <v>-9.8299066940942814E-3</v>
      </c>
      <c r="D33">
        <v>-0.21520208467378601</v>
      </c>
      <c r="F33">
        <v>6.140350877192982</v>
      </c>
      <c r="G33">
        <v>4.1874999999999996E-2</v>
      </c>
    </row>
    <row r="34" spans="1:7">
      <c r="A34">
        <v>5</v>
      </c>
      <c r="B34">
        <v>0.32864524202494172</v>
      </c>
      <c r="C34">
        <v>-1.0341670596370311E-2</v>
      </c>
      <c r="D34">
        <v>-0.22640592028056344</v>
      </c>
      <c r="F34">
        <v>7.8947368421052628</v>
      </c>
      <c r="G34">
        <v>5.4017857142857145E-2</v>
      </c>
    </row>
    <row r="35" spans="1:7">
      <c r="A35">
        <v>6</v>
      </c>
      <c r="B35">
        <v>0.28049297578130561</v>
      </c>
      <c r="C35">
        <v>6.1828452790122945E-2</v>
      </c>
      <c r="D35">
        <v>1.3535847639920233</v>
      </c>
      <c r="F35">
        <v>9.6491228070175428</v>
      </c>
      <c r="G35">
        <v>5.40311237385247E-2</v>
      </c>
    </row>
    <row r="36" spans="1:7">
      <c r="A36">
        <v>7</v>
      </c>
      <c r="B36">
        <v>0.28049297578130561</v>
      </c>
      <c r="C36">
        <v>2.9149881361551555E-2</v>
      </c>
      <c r="D36">
        <v>0.6381663053595682</v>
      </c>
      <c r="F36">
        <v>11.403508771929824</v>
      </c>
      <c r="G36">
        <v>5.4047161403691479E-2</v>
      </c>
    </row>
    <row r="37" spans="1:7">
      <c r="A37">
        <v>8</v>
      </c>
      <c r="B37">
        <v>0.53853733173854201</v>
      </c>
      <c r="C37">
        <v>9.8159096832886594E-2</v>
      </c>
      <c r="D37">
        <v>2.1489565390101162</v>
      </c>
      <c r="F37">
        <v>13.157894736842104</v>
      </c>
      <c r="G37">
        <v>6.0517042790489528E-2</v>
      </c>
    </row>
    <row r="38" spans="1:7">
      <c r="A38">
        <v>9</v>
      </c>
      <c r="B38">
        <v>0.47100615360609022</v>
      </c>
      <c r="C38">
        <v>6.8636703536766985E-2</v>
      </c>
      <c r="D38">
        <v>1.502634983821669</v>
      </c>
      <c r="F38">
        <v>14.912280701754385</v>
      </c>
      <c r="G38">
        <v>7.0154499248613722E-2</v>
      </c>
    </row>
    <row r="39" spans="1:7">
      <c r="A39">
        <v>10</v>
      </c>
      <c r="B39">
        <v>0.47100615360609022</v>
      </c>
      <c r="C39">
        <v>6.176170353676691E-2</v>
      </c>
      <c r="D39">
        <v>1.3521234501749484</v>
      </c>
      <c r="F39">
        <v>16.666666666666664</v>
      </c>
      <c r="G39">
        <v>7.0694350090755531E-2</v>
      </c>
    </row>
    <row r="40" spans="1:7">
      <c r="A40">
        <v>11</v>
      </c>
      <c r="B40">
        <v>0.42043921058269296</v>
      </c>
      <c r="C40">
        <v>0.13723936084587851</v>
      </c>
      <c r="D40">
        <v>3.0045246076521659</v>
      </c>
      <c r="F40">
        <v>18.421052631578945</v>
      </c>
      <c r="G40">
        <v>7.4186936869157116E-2</v>
      </c>
    </row>
    <row r="41" spans="1:7">
      <c r="A41">
        <v>12</v>
      </c>
      <c r="B41">
        <v>7.4246972050449875E-2</v>
      </c>
      <c r="C41">
        <v>-4.3979114907592695E-2</v>
      </c>
      <c r="D41">
        <v>-0.96281658664248071</v>
      </c>
      <c r="F41">
        <v>20.175438596491226</v>
      </c>
      <c r="G41">
        <v>7.4975476845398514E-2</v>
      </c>
    </row>
    <row r="42" spans="1:7">
      <c r="A42">
        <v>13</v>
      </c>
      <c r="B42">
        <v>7.1355784588241641E-2</v>
      </c>
      <c r="C42">
        <v>-2.9480784588241646E-2</v>
      </c>
      <c r="D42">
        <v>-0.6454106329432443</v>
      </c>
      <c r="F42">
        <v>21.929824561403507</v>
      </c>
      <c r="G42">
        <v>7.6339285714285721E-2</v>
      </c>
    </row>
    <row r="43" spans="1:7">
      <c r="A43">
        <v>14</v>
      </c>
      <c r="B43">
        <v>5.6114767291957982E-2</v>
      </c>
      <c r="C43">
        <v>2.0224518422327739E-2</v>
      </c>
      <c r="D43">
        <v>0.44276702327430806</v>
      </c>
      <c r="F43">
        <v>23.684210526315788</v>
      </c>
      <c r="G43">
        <v>9.7881317744028196E-2</v>
      </c>
    </row>
    <row r="44" spans="1:7">
      <c r="A44">
        <v>15</v>
      </c>
      <c r="B44">
        <v>0.13840577430425113</v>
      </c>
      <c r="C44">
        <v>-2.2381010392121842E-2</v>
      </c>
      <c r="D44">
        <v>-0.4899782107172963</v>
      </c>
      <c r="F44">
        <v>25.438596491228068</v>
      </c>
      <c r="G44">
        <v>0.10082252669469871</v>
      </c>
    </row>
    <row r="45" spans="1:7">
      <c r="A45">
        <v>16</v>
      </c>
      <c r="B45">
        <v>0.13840577430425113</v>
      </c>
      <c r="C45">
        <v>-2.1455136447141337E-2</v>
      </c>
      <c r="D45">
        <v>-0.46970843509219762</v>
      </c>
      <c r="F45">
        <v>27.192982456140349</v>
      </c>
      <c r="G45">
        <v>0.10530235051102099</v>
      </c>
    </row>
    <row r="46" spans="1:7">
      <c r="A46">
        <v>17</v>
      </c>
      <c r="B46">
        <v>0.16258474133170531</v>
      </c>
      <c r="C46">
        <v>1.1278137253897202E-2</v>
      </c>
      <c r="D46">
        <v>0.24690759778360186</v>
      </c>
      <c r="F46">
        <v>28.94736842105263</v>
      </c>
      <c r="G46">
        <v>0.1090700458673366</v>
      </c>
    </row>
    <row r="47" spans="1:7">
      <c r="A47">
        <v>18</v>
      </c>
      <c r="B47">
        <v>0.16258474133170531</v>
      </c>
      <c r="C47">
        <v>-3.4359323609665093E-2</v>
      </c>
      <c r="D47">
        <v>-0.75221447149885245</v>
      </c>
      <c r="F47">
        <v>30.701754385964911</v>
      </c>
      <c r="G47">
        <v>0.10964777778409923</v>
      </c>
    </row>
    <row r="48" spans="1:7">
      <c r="A48">
        <v>19</v>
      </c>
      <c r="B48">
        <v>0.16258474133170531</v>
      </c>
      <c r="C48">
        <v>-4.1722920189611989E-2</v>
      </c>
      <c r="D48">
        <v>-0.91342264813936769</v>
      </c>
      <c r="F48">
        <v>32.456140350877192</v>
      </c>
      <c r="G48">
        <v>0.10972976550696417</v>
      </c>
    </row>
    <row r="49" spans="1:7">
      <c r="A49">
        <v>20</v>
      </c>
      <c r="B49">
        <v>0.17023331790982391</v>
      </c>
      <c r="C49">
        <v>1.3372490052288716E-2</v>
      </c>
      <c r="D49">
        <v>0.29275839802843157</v>
      </c>
      <c r="F49">
        <v>34.210526315789465</v>
      </c>
      <c r="G49">
        <v>0.11041440330974572</v>
      </c>
    </row>
    <row r="50" spans="1:7">
      <c r="A50">
        <v>21</v>
      </c>
      <c r="B50">
        <v>0.17023331790982391</v>
      </c>
      <c r="C50">
        <v>-3.3918992359264238E-2</v>
      </c>
      <c r="D50">
        <v>-0.74257448141733828</v>
      </c>
      <c r="F50">
        <v>35.964912280701746</v>
      </c>
      <c r="G50">
        <v>0.11309318628043225</v>
      </c>
    </row>
    <row r="51" spans="1:7">
      <c r="A51">
        <v>22</v>
      </c>
      <c r="B51">
        <v>0.17023331790982391</v>
      </c>
      <c r="C51">
        <v>-9.3601626169954877E-3</v>
      </c>
      <c r="D51">
        <v>-0.20491817173333482</v>
      </c>
      <c r="F51">
        <v>37.719298245614027</v>
      </c>
      <c r="G51">
        <v>0.11602476391212929</v>
      </c>
    </row>
    <row r="52" spans="1:7">
      <c r="A52">
        <v>23</v>
      </c>
      <c r="B52">
        <v>0.27701499165411819</v>
      </c>
      <c r="C52">
        <v>4.7696572387190828E-3</v>
      </c>
      <c r="D52">
        <v>0.10442013468636853</v>
      </c>
      <c r="F52">
        <v>39.473684210526308</v>
      </c>
      <c r="G52">
        <v>0.1169506378571098</v>
      </c>
    </row>
    <row r="53" spans="1:7">
      <c r="A53">
        <v>24</v>
      </c>
      <c r="B53">
        <v>0.27701499165411819</v>
      </c>
      <c r="C53">
        <v>6.0395917044245295E-3</v>
      </c>
      <c r="D53">
        <v>0.13222228509569992</v>
      </c>
      <c r="F53">
        <v>41.228070175438589</v>
      </c>
      <c r="G53">
        <v>0.11910714285714288</v>
      </c>
    </row>
    <row r="54" spans="1:7">
      <c r="A54">
        <v>25</v>
      </c>
      <c r="B54">
        <v>0.27701499165411819</v>
      </c>
      <c r="C54">
        <v>-2.974830397184508E-2</v>
      </c>
      <c r="D54">
        <v>-0.65126732424599021</v>
      </c>
      <c r="F54">
        <v>42.98245614035087</v>
      </c>
      <c r="G54">
        <v>0.1193788024274457</v>
      </c>
    </row>
    <row r="55" spans="1:7">
      <c r="A55">
        <v>26</v>
      </c>
      <c r="B55">
        <v>0.27701499165411819</v>
      </c>
      <c r="C55">
        <v>-5.2066881998576453E-3</v>
      </c>
      <c r="D55">
        <v>-0.11398787289903248</v>
      </c>
      <c r="F55">
        <v>44.73684210526315</v>
      </c>
      <c r="G55">
        <v>0.12086182114209332</v>
      </c>
    </row>
    <row r="56" spans="1:7">
      <c r="A56">
        <v>27</v>
      </c>
      <c r="B56">
        <v>0.27701499165411819</v>
      </c>
      <c r="C56">
        <v>-8.9701105763423383E-4</v>
      </c>
      <c r="D56">
        <v>-1.9637892361104567E-2</v>
      </c>
      <c r="F56">
        <v>46.491228070175431</v>
      </c>
      <c r="G56">
        <v>0.12685079544662825</v>
      </c>
    </row>
    <row r="57" spans="1:7">
      <c r="A57">
        <v>28</v>
      </c>
      <c r="B57">
        <v>0.27701499165411819</v>
      </c>
      <c r="C57">
        <v>-3.0463086237778658E-2</v>
      </c>
      <c r="D57">
        <v>-0.66691575698331962</v>
      </c>
      <c r="F57">
        <v>48.245614035087712</v>
      </c>
      <c r="G57">
        <v>0.12822541772204021</v>
      </c>
    </row>
    <row r="58" spans="1:7">
      <c r="A58">
        <v>29</v>
      </c>
      <c r="B58">
        <v>0.28413450520636252</v>
      </c>
      <c r="C58">
        <v>-4.3734776989747814E-2</v>
      </c>
      <c r="D58">
        <v>-0.95746739758897104</v>
      </c>
      <c r="F58">
        <v>49.999999999999993</v>
      </c>
      <c r="G58">
        <v>0.1324107142857143</v>
      </c>
    </row>
    <row r="59" spans="1:7">
      <c r="A59">
        <v>30</v>
      </c>
      <c r="B59">
        <v>0.28413450520636252</v>
      </c>
      <c r="C59">
        <v>-8.2693990713628485E-2</v>
      </c>
      <c r="D59">
        <v>-1.8103853622801098</v>
      </c>
      <c r="F59">
        <v>51.754385964912274</v>
      </c>
      <c r="G59">
        <v>0.13631432555055967</v>
      </c>
    </row>
    <row r="60" spans="1:7">
      <c r="A60">
        <v>31</v>
      </c>
      <c r="B60">
        <v>0.28413450520636252</v>
      </c>
      <c r="C60">
        <v>-7.6633134340210463E-2</v>
      </c>
      <c r="D60">
        <v>-1.6776975385745625</v>
      </c>
      <c r="F60">
        <v>53.508771929824555</v>
      </c>
      <c r="G60">
        <v>0.14110353190450686</v>
      </c>
    </row>
    <row r="61" spans="1:7">
      <c r="A61">
        <v>32</v>
      </c>
      <c r="B61">
        <v>0.28413450520636252</v>
      </c>
      <c r="C61">
        <v>-8.1619045365549869E-2</v>
      </c>
      <c r="D61">
        <v>-1.7868520280363689</v>
      </c>
      <c r="F61">
        <v>55.263157894736835</v>
      </c>
      <c r="G61">
        <v>0.14280903869889638</v>
      </c>
    </row>
    <row r="62" spans="1:7">
      <c r="A62">
        <v>33</v>
      </c>
      <c r="B62">
        <v>0.29662260279552782</v>
      </c>
      <c r="C62">
        <v>-3.1543087357701449E-2</v>
      </c>
      <c r="D62">
        <v>-0.69055977515055644</v>
      </c>
      <c r="F62">
        <v>57.017543859649116</v>
      </c>
      <c r="G62">
        <v>0.15910714285714286</v>
      </c>
    </row>
    <row r="63" spans="1:7">
      <c r="A63">
        <v>34</v>
      </c>
      <c r="B63">
        <v>0.29662260279552782</v>
      </c>
      <c r="C63">
        <v>-6.0701897493998291E-2</v>
      </c>
      <c r="D63">
        <v>-1.32892155448547</v>
      </c>
      <c r="F63">
        <v>58.771929824561397</v>
      </c>
      <c r="G63">
        <v>0.16087315529282842</v>
      </c>
    </row>
    <row r="64" spans="1:7">
      <c r="A64">
        <v>35</v>
      </c>
      <c r="B64">
        <v>1.8798460793330904E-2</v>
      </c>
      <c r="C64">
        <v>7.9872534923833977E-3</v>
      </c>
      <c r="D64">
        <v>0.17486163967472537</v>
      </c>
      <c r="F64">
        <v>60.526315789473678</v>
      </c>
      <c r="G64">
        <v>0.1659238696936447</v>
      </c>
    </row>
    <row r="65" spans="1:7">
      <c r="A65">
        <v>36</v>
      </c>
      <c r="B65">
        <v>1.0799868443797475E-2</v>
      </c>
      <c r="C65">
        <v>7.6822744133454163E-3</v>
      </c>
      <c r="D65">
        <v>0.16818485874146419</v>
      </c>
      <c r="F65">
        <v>62.280701754385959</v>
      </c>
      <c r="G65">
        <v>0.17386287858560251</v>
      </c>
    </row>
    <row r="66" spans="1:7">
      <c r="A66">
        <v>37</v>
      </c>
      <c r="B66">
        <v>1.0078145057635379E-3</v>
      </c>
      <c r="C66">
        <v>5.3010042637093607E-2</v>
      </c>
      <c r="D66">
        <v>1.1605269550526427</v>
      </c>
      <c r="F66">
        <v>64.035087719298247</v>
      </c>
      <c r="G66">
        <v>0.18360580796211262</v>
      </c>
    </row>
    <row r="67" spans="1:7">
      <c r="A67">
        <v>38</v>
      </c>
      <c r="B67">
        <v>5.5077187338720135E-4</v>
      </c>
      <c r="C67">
        <v>5.3480351865137499E-2</v>
      </c>
      <c r="D67">
        <v>1.170823240609165</v>
      </c>
      <c r="F67">
        <v>65.78947368421052</v>
      </c>
      <c r="G67">
        <v>0.20144051449273404</v>
      </c>
    </row>
    <row r="68" spans="1:7">
      <c r="A68">
        <v>39</v>
      </c>
      <c r="B68">
        <v>5.5077187338720135E-4</v>
      </c>
      <c r="C68">
        <v>5.3496389530304278E-2</v>
      </c>
      <c r="D68">
        <v>1.1711743465844906</v>
      </c>
      <c r="F68">
        <v>67.543859649122794</v>
      </c>
      <c r="G68">
        <v>0.20251545984081265</v>
      </c>
    </row>
    <row r="69" spans="1:7">
      <c r="A69">
        <v>40</v>
      </c>
      <c r="B69">
        <v>5.5077187338720135E-4</v>
      </c>
      <c r="C69">
        <v>5.9966270917102327E-2</v>
      </c>
      <c r="D69">
        <v>1.3128167858629394</v>
      </c>
      <c r="F69">
        <v>69.298245614035082</v>
      </c>
      <c r="G69">
        <v>0.20750137086615206</v>
      </c>
    </row>
    <row r="70" spans="1:7">
      <c r="A70">
        <v>41</v>
      </c>
      <c r="B70">
        <v>5.7844929887770319E-2</v>
      </c>
      <c r="C70">
        <v>1.2849420202985212E-2</v>
      </c>
      <c r="D70">
        <v>0.28130704599599105</v>
      </c>
      <c r="F70">
        <v>71.052631578947356</v>
      </c>
      <c r="G70">
        <v>0.23592070530152953</v>
      </c>
    </row>
    <row r="71" spans="1:7">
      <c r="A71">
        <v>42</v>
      </c>
      <c r="B71">
        <v>5.7844929887770319E-2</v>
      </c>
      <c r="C71">
        <v>1.2309569360843403E-2</v>
      </c>
      <c r="D71">
        <v>0.26948831462272027</v>
      </c>
      <c r="F71">
        <v>72.807017543859644</v>
      </c>
      <c r="G71">
        <v>0.24039972821661471</v>
      </c>
    </row>
    <row r="72" spans="1:7">
      <c r="A72">
        <v>43</v>
      </c>
      <c r="B72">
        <v>5.7844929887770319E-2</v>
      </c>
      <c r="C72">
        <v>1.7130546957628195E-2</v>
      </c>
      <c r="D72">
        <v>0.37503198469814608</v>
      </c>
      <c r="F72">
        <v>74.561403508771917</v>
      </c>
      <c r="G72">
        <v>0.24655190541633953</v>
      </c>
    </row>
    <row r="73" spans="1:7">
      <c r="A73">
        <v>44</v>
      </c>
      <c r="B73">
        <v>5.7844929887770319E-2</v>
      </c>
      <c r="C73">
        <v>1.6342006981386797E-2</v>
      </c>
      <c r="D73">
        <v>0.35776880489220569</v>
      </c>
      <c r="F73">
        <v>76.315789473684205</v>
      </c>
      <c r="G73">
        <v>0.24726668768227311</v>
      </c>
    </row>
    <row r="74" spans="1:7">
      <c r="A74">
        <v>45</v>
      </c>
      <c r="B74">
        <v>9.252041239051248E-2</v>
      </c>
      <c r="C74">
        <v>5.3609053535157158E-3</v>
      </c>
      <c r="D74">
        <v>0.11736408530800817</v>
      </c>
      <c r="F74">
        <v>78.070175438596479</v>
      </c>
      <c r="G74">
        <v>0.26507951543782637</v>
      </c>
    </row>
    <row r="75" spans="1:7">
      <c r="A75">
        <v>46</v>
      </c>
      <c r="B75">
        <v>9.252041239051248E-2</v>
      </c>
      <c r="C75">
        <v>1.7127365393586752E-2</v>
      </c>
      <c r="D75">
        <v>0.37496233203148821</v>
      </c>
      <c r="F75">
        <v>79.824561403508767</v>
      </c>
      <c r="G75">
        <v>0.27180830345426055</v>
      </c>
    </row>
    <row r="76" spans="1:7">
      <c r="A76">
        <v>47</v>
      </c>
      <c r="B76">
        <v>9.252041239051248E-2</v>
      </c>
      <c r="C76">
        <v>1.7209353116451692E-2</v>
      </c>
      <c r="D76">
        <v>0.37675725536364885</v>
      </c>
      <c r="F76">
        <v>81.578947368421041</v>
      </c>
      <c r="G76">
        <v>0.27611798059648396</v>
      </c>
    </row>
    <row r="77" spans="1:7">
      <c r="A77">
        <v>48</v>
      </c>
      <c r="B77">
        <v>9.252041239051248E-2</v>
      </c>
      <c r="C77">
        <v>2.0572773889919765E-2</v>
      </c>
      <c r="D77">
        <v>0.45039123629658168</v>
      </c>
      <c r="F77">
        <v>83.333333333333329</v>
      </c>
      <c r="G77">
        <v>0.28178464889283728</v>
      </c>
    </row>
    <row r="78" spans="1:7">
      <c r="A78">
        <v>49</v>
      </c>
      <c r="B78">
        <v>6.1359577968742918E-2</v>
      </c>
      <c r="C78">
        <v>3.9462948725955793E-2</v>
      </c>
      <c r="D78">
        <v>0.86394602690406375</v>
      </c>
      <c r="F78">
        <v>85.087719298245602</v>
      </c>
      <c r="G78">
        <v>0.28305458335854272</v>
      </c>
    </row>
    <row r="79" spans="1:7">
      <c r="A79">
        <v>50</v>
      </c>
      <c r="B79">
        <v>6.1359577968742918E-2</v>
      </c>
      <c r="C79">
        <v>4.3942772542278075E-2</v>
      </c>
      <c r="D79">
        <v>0.96202095825850209</v>
      </c>
      <c r="F79">
        <v>86.84210526315789</v>
      </c>
      <c r="G79">
        <v>0.30964285714285716</v>
      </c>
    </row>
    <row r="80" spans="1:7">
      <c r="A80">
        <v>51</v>
      </c>
      <c r="B80">
        <v>6.1359577968742918E-2</v>
      </c>
      <c r="C80">
        <v>5.8019224458702778E-2</v>
      </c>
      <c r="D80">
        <v>1.2701909024396481</v>
      </c>
      <c r="F80">
        <v>88.596491228070164</v>
      </c>
      <c r="G80">
        <v>0.31830357142857141</v>
      </c>
    </row>
    <row r="81" spans="1:7">
      <c r="A81">
        <v>52</v>
      </c>
      <c r="B81">
        <v>0.14404055574517488</v>
      </c>
      <c r="C81">
        <v>-2.9370238406680182E-3</v>
      </c>
      <c r="D81">
        <v>-6.4299049107770179E-2</v>
      </c>
      <c r="F81">
        <v>90.350877192982452</v>
      </c>
      <c r="G81">
        <v>0.34232142857142855</v>
      </c>
    </row>
    <row r="82" spans="1:7">
      <c r="A82">
        <v>53</v>
      </c>
      <c r="B82">
        <v>0.14404055574517488</v>
      </c>
      <c r="C82">
        <v>-3.4970509877838285E-2</v>
      </c>
      <c r="D82">
        <v>-0.76559491987217065</v>
      </c>
      <c r="F82">
        <v>92.105263157894726</v>
      </c>
      <c r="G82">
        <v>0.38205357142857144</v>
      </c>
    </row>
    <row r="83" spans="1:7">
      <c r="A83">
        <v>54</v>
      </c>
      <c r="B83">
        <v>0.14404055574517488</v>
      </c>
      <c r="C83">
        <v>-1.718976029854663E-2</v>
      </c>
      <c r="D83">
        <v>-0.37632831789872495</v>
      </c>
      <c r="F83">
        <v>93.859649122807014</v>
      </c>
      <c r="G83">
        <v>0.53276785714285713</v>
      </c>
    </row>
    <row r="84" spans="1:7">
      <c r="A84">
        <v>55</v>
      </c>
      <c r="B84">
        <v>0.14404055574517488</v>
      </c>
      <c r="C84">
        <v>-3.3626152435429157E-2</v>
      </c>
      <c r="D84">
        <v>-0.73616345799197014</v>
      </c>
      <c r="F84">
        <v>95.614035087719287</v>
      </c>
      <c r="G84">
        <v>0.5396428571428572</v>
      </c>
    </row>
    <row r="85" spans="1:7">
      <c r="A85">
        <v>56</v>
      </c>
      <c r="B85">
        <v>0.20192594784760343</v>
      </c>
      <c r="C85">
        <v>-5.9116909148707042E-2</v>
      </c>
      <c r="D85">
        <v>-1.2942220596982756</v>
      </c>
      <c r="F85">
        <v>97.368421052631575</v>
      </c>
      <c r="G85">
        <v>0.55767857142857147</v>
      </c>
    </row>
    <row r="86" spans="1:7" ht="15.6" thickBot="1">
      <c r="A86" s="26">
        <v>57</v>
      </c>
      <c r="B86" s="26">
        <v>0.20192594784760343</v>
      </c>
      <c r="C86" s="26">
        <v>-3.6002078153958728E-2</v>
      </c>
      <c r="D86" s="26">
        <v>-0.7881786178067437</v>
      </c>
      <c r="F86" s="26">
        <v>99.122807017543849</v>
      </c>
      <c r="G86" s="26">
        <v>0.63669642857142861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4638-07E2-4A0B-B17F-8088BC18E0CA}">
  <dimension ref="A1:I83"/>
  <sheetViews>
    <sheetView workbookViewId="0">
      <selection activeCell="L26" sqref="L26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0.87435377925190727</v>
      </c>
    </row>
    <row r="5" spans="1:9">
      <c r="A5" t="s">
        <v>23</v>
      </c>
      <c r="B5">
        <v>0.76449453129209299</v>
      </c>
    </row>
    <row r="6" spans="1:9">
      <c r="A6" t="s">
        <v>24</v>
      </c>
      <c r="B6">
        <v>0.75116403306334356</v>
      </c>
    </row>
    <row r="7" spans="1:9">
      <c r="A7" t="s">
        <v>25</v>
      </c>
      <c r="B7">
        <v>8.2435864994258215E-2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3</v>
      </c>
      <c r="C12">
        <v>1.169180746351969</v>
      </c>
      <c r="D12">
        <v>0.38972691545065635</v>
      </c>
      <c r="E12">
        <v>57.349284188293318</v>
      </c>
      <c r="F12">
        <v>1.1810651619121877E-16</v>
      </c>
    </row>
    <row r="13" spans="1:9">
      <c r="A13" t="s">
        <v>29</v>
      </c>
      <c r="B13">
        <v>53</v>
      </c>
      <c r="C13">
        <v>0.36017060737963302</v>
      </c>
      <c r="D13">
        <v>6.7956718373515662E-3</v>
      </c>
    </row>
    <row r="14" spans="1:9" ht="15.6" thickBot="1">
      <c r="A14" s="26" t="s">
        <v>30</v>
      </c>
      <c r="B14" s="26">
        <v>56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0.94910074041601222</v>
      </c>
      <c r="C17">
        <v>6.7982707337254381E-2</v>
      </c>
      <c r="D17">
        <v>13.960914144057735</v>
      </c>
      <c r="E17">
        <v>2.1503734272096242E-19</v>
      </c>
      <c r="F17">
        <v>0.81274469742344746</v>
      </c>
      <c r="G17">
        <v>1.0854567834085769</v>
      </c>
      <c r="H17">
        <v>0.81274469742344746</v>
      </c>
      <c r="I17">
        <v>1.0854567834085769</v>
      </c>
    </row>
    <row r="18" spans="1:9">
      <c r="A18" t="s">
        <v>10</v>
      </c>
      <c r="B18">
        <v>-0.2766093959652659</v>
      </c>
      <c r="C18">
        <v>6.1289640810824129E-2</v>
      </c>
      <c r="D18">
        <v>-4.5131508735553725</v>
      </c>
      <c r="E18">
        <v>3.5869028363610863E-5</v>
      </c>
      <c r="F18">
        <v>-0.39954084757604708</v>
      </c>
      <c r="G18">
        <v>-0.15367794435448473</v>
      </c>
      <c r="H18">
        <v>-0.39954084757604708</v>
      </c>
      <c r="I18">
        <v>-0.15367794435448473</v>
      </c>
    </row>
    <row r="19" spans="1:9">
      <c r="A19" t="s">
        <v>14</v>
      </c>
      <c r="B19">
        <v>-0.20622284922800771</v>
      </c>
      <c r="C19">
        <v>4.4930292637825116E-2</v>
      </c>
      <c r="D19">
        <v>-4.5898398857610934</v>
      </c>
      <c r="E19">
        <v>2.7607957371707561E-5</v>
      </c>
      <c r="F19">
        <v>-0.29634160375478541</v>
      </c>
      <c r="G19">
        <v>-0.11610409470123002</v>
      </c>
      <c r="H19">
        <v>-0.29634160375478541</v>
      </c>
      <c r="I19">
        <v>-0.11610409470123002</v>
      </c>
    </row>
    <row r="20" spans="1:9" ht="15.6" thickBot="1">
      <c r="A20" s="26" t="s">
        <v>46</v>
      </c>
      <c r="B20" s="26">
        <v>-6.1120824105765012E-3</v>
      </c>
      <c r="C20" s="26">
        <v>4.8191351467474525E-4</v>
      </c>
      <c r="D20" s="26">
        <v>-12.682944604078367</v>
      </c>
      <c r="E20" s="26">
        <v>1.1017019713365096E-17</v>
      </c>
      <c r="F20" s="26">
        <v>-7.0786785127249308E-3</v>
      </c>
      <c r="G20" s="26">
        <v>-5.1454863084280716E-3</v>
      </c>
      <c r="H20" s="26">
        <v>-7.0786785127249308E-3</v>
      </c>
      <c r="I20" s="26">
        <v>-5.1454863084280716E-3</v>
      </c>
    </row>
    <row r="24" spans="1:9">
      <c r="A24" t="s">
        <v>49</v>
      </c>
      <c r="F24" t="s">
        <v>51</v>
      </c>
    </row>
    <row r="25" spans="1:9" ht="15.6" thickBot="1"/>
    <row r="26" spans="1:9">
      <c r="A26" s="27" t="s">
        <v>50</v>
      </c>
      <c r="B26" s="27" t="s">
        <v>54</v>
      </c>
      <c r="C26" s="27" t="s">
        <v>29</v>
      </c>
      <c r="D26" s="27" t="s">
        <v>55</v>
      </c>
      <c r="F26" s="27" t="s">
        <v>52</v>
      </c>
      <c r="G26" s="27" t="s">
        <v>17</v>
      </c>
    </row>
    <row r="27" spans="1:9">
      <c r="A27">
        <v>1</v>
      </c>
      <c r="B27">
        <v>0.37568710028388641</v>
      </c>
      <c r="C27">
        <v>2.1336709239923202E-2</v>
      </c>
      <c r="D27">
        <v>0.26605248420571448</v>
      </c>
      <c r="F27">
        <v>0.8771929824561403</v>
      </c>
      <c r="G27">
        <v>6.1607142857142971E-2</v>
      </c>
    </row>
    <row r="28" spans="1:9">
      <c r="A28">
        <v>2</v>
      </c>
      <c r="B28">
        <v>0.43752612222343995</v>
      </c>
      <c r="C28">
        <v>3.8429253956077103E-3</v>
      </c>
      <c r="D28">
        <v>4.7918347511883681E-2</v>
      </c>
      <c r="F28">
        <v>2.6315789473684208</v>
      </c>
      <c r="G28">
        <v>8.9285714285714343E-2</v>
      </c>
    </row>
    <row r="29" spans="1:9">
      <c r="A29">
        <v>3</v>
      </c>
      <c r="B29">
        <v>0.50358126807564862</v>
      </c>
      <c r="C29">
        <v>2.6775874781494235E-2</v>
      </c>
      <c r="D29">
        <v>0.33387472839852622</v>
      </c>
      <c r="F29">
        <v>4.3859649122807012</v>
      </c>
      <c r="G29">
        <v>9.0051872897541171E-2</v>
      </c>
    </row>
    <row r="30" spans="1:9">
      <c r="A30">
        <v>4</v>
      </c>
      <c r="B30">
        <v>0.56103191608894232</v>
      </c>
      <c r="C30">
        <v>7.5724036292010077E-2</v>
      </c>
      <c r="D30">
        <v>0.94422095474201051</v>
      </c>
      <c r="F30">
        <v>6.140350877192982</v>
      </c>
      <c r="G30">
        <v>9.0078602339485808E-2</v>
      </c>
    </row>
    <row r="31" spans="1:9">
      <c r="A31">
        <v>5</v>
      </c>
      <c r="B31">
        <v>0.4926160947562</v>
      </c>
      <c r="C31">
        <v>3.7889857624752332E-2</v>
      </c>
      <c r="D31">
        <v>0.4724576144293221</v>
      </c>
      <c r="F31">
        <v>7.8947368421052628</v>
      </c>
      <c r="G31">
        <v>0.10086173798414921</v>
      </c>
    </row>
    <row r="32" spans="1:9">
      <c r="A32">
        <v>6</v>
      </c>
      <c r="B32">
        <v>0.48242882798511511</v>
      </c>
      <c r="C32">
        <v>8.8106886300599152E-2</v>
      </c>
      <c r="D32">
        <v>1.0986256461724746</v>
      </c>
      <c r="F32">
        <v>9.6491228070175428</v>
      </c>
      <c r="G32">
        <v>0.10089285714285727</v>
      </c>
    </row>
    <row r="33" spans="1:7">
      <c r="A33">
        <v>7</v>
      </c>
      <c r="B33">
        <v>0.48242882798511511</v>
      </c>
      <c r="C33">
        <v>3.364260058631352E-2</v>
      </c>
      <c r="D33">
        <v>0.41949755983840531</v>
      </c>
      <c r="F33">
        <v>11.403508771929824</v>
      </c>
      <c r="G33">
        <v>0.11202502966077635</v>
      </c>
    </row>
    <row r="34" spans="1:7">
      <c r="A34">
        <v>8</v>
      </c>
      <c r="B34">
        <v>0.48395576358423792</v>
      </c>
      <c r="C34">
        <v>0.22348471260623831</v>
      </c>
      <c r="D34">
        <v>2.7866838462435677</v>
      </c>
      <c r="F34">
        <v>13.157894736842104</v>
      </c>
      <c r="G34">
        <v>0.11692416541435621</v>
      </c>
    </row>
    <row r="35" spans="1:7">
      <c r="A35">
        <v>9</v>
      </c>
      <c r="B35">
        <v>0.41968682544145613</v>
      </c>
      <c r="C35">
        <v>0.17991634916171856</v>
      </c>
      <c r="D35">
        <v>2.2434195969701571</v>
      </c>
      <c r="F35">
        <v>14.912280701754385</v>
      </c>
      <c r="G35">
        <v>0.11700261167891221</v>
      </c>
    </row>
    <row r="36" spans="1:7">
      <c r="A36">
        <v>10</v>
      </c>
      <c r="B36">
        <v>0.41968682544145613</v>
      </c>
      <c r="C36">
        <v>0.17227746027282959</v>
      </c>
      <c r="D36">
        <v>2.1481684810362336</v>
      </c>
      <c r="F36">
        <v>16.666666666666664</v>
      </c>
      <c r="G36">
        <v>0.11782391681792589</v>
      </c>
    </row>
    <row r="37" spans="1:7">
      <c r="A37">
        <v>11</v>
      </c>
      <c r="B37">
        <v>0.39183618486781313</v>
      </c>
      <c r="C37">
        <v>0.22780667227504403</v>
      </c>
      <c r="D37">
        <v>2.8405753856366784</v>
      </c>
      <c r="F37">
        <v>18.421052631578945</v>
      </c>
      <c r="G37">
        <v>0.12118893985259621</v>
      </c>
    </row>
    <row r="38" spans="1:7">
      <c r="A38">
        <v>12</v>
      </c>
      <c r="B38">
        <v>1.8063868509401559E-2</v>
      </c>
      <c r="C38">
        <v>8.2828988633455711E-2</v>
      </c>
      <c r="D38">
        <v>1.0328142893255783</v>
      </c>
      <c r="F38">
        <v>20.175438596491226</v>
      </c>
      <c r="G38">
        <v>0.12268267034416191</v>
      </c>
    </row>
    <row r="39" spans="1:7">
      <c r="A39">
        <v>13</v>
      </c>
      <c r="B39">
        <v>0.20887396891118959</v>
      </c>
      <c r="C39">
        <v>-6.9290635577856252E-2</v>
      </c>
      <c r="D39">
        <v>-0.86400135655351284</v>
      </c>
      <c r="F39">
        <v>21.929824561403507</v>
      </c>
      <c r="G39">
        <v>0.12364489478192853</v>
      </c>
    </row>
    <row r="40" spans="1:7">
      <c r="A40">
        <v>14</v>
      </c>
      <c r="B40">
        <v>0.34005979389377566</v>
      </c>
      <c r="C40">
        <v>-8.559550817948991E-2</v>
      </c>
      <c r="D40">
        <v>-1.0673106771963403</v>
      </c>
      <c r="F40">
        <v>23.684210526315788</v>
      </c>
      <c r="G40">
        <v>0.1249591280756642</v>
      </c>
    </row>
    <row r="41" spans="1:7">
      <c r="A41">
        <v>15</v>
      </c>
      <c r="B41">
        <v>0.26067964094499829</v>
      </c>
      <c r="C41">
        <v>-6.7305034424782806E-2</v>
      </c>
      <c r="D41">
        <v>-0.83924242519832215</v>
      </c>
      <c r="F41">
        <v>25.438596491228068</v>
      </c>
      <c r="G41">
        <v>0.13264311380827298</v>
      </c>
    </row>
    <row r="42" spans="1:7">
      <c r="A42">
        <v>16</v>
      </c>
      <c r="B42">
        <v>0.26067964094499829</v>
      </c>
      <c r="C42">
        <v>-6.5761911183148614E-2</v>
      </c>
      <c r="D42">
        <v>-0.82000085578591408</v>
      </c>
      <c r="F42">
        <v>27.192982456140349</v>
      </c>
      <c r="G42">
        <v>0.13958333333333334</v>
      </c>
    </row>
    <row r="43" spans="1:7">
      <c r="A43">
        <v>17</v>
      </c>
      <c r="B43">
        <v>0.292676448665458</v>
      </c>
      <c r="C43">
        <v>-2.9049843561204658E-3</v>
      </c>
      <c r="D43">
        <v>-3.6222938403193509E-2</v>
      </c>
      <c r="F43">
        <v>28.94736842105263</v>
      </c>
      <c r="G43">
        <v>0.14094532827403139</v>
      </c>
    </row>
    <row r="44" spans="1:7">
      <c r="A44">
        <v>18</v>
      </c>
      <c r="B44">
        <v>0.292676448665458</v>
      </c>
      <c r="C44">
        <v>-7.8967419128724292E-2</v>
      </c>
      <c r="D44">
        <v>-0.98466346399847071</v>
      </c>
      <c r="F44">
        <v>30.701754385964911</v>
      </c>
      <c r="G44">
        <v>0.15678170211611872</v>
      </c>
    </row>
    <row r="45" spans="1:7">
      <c r="A45">
        <v>19</v>
      </c>
      <c r="B45">
        <v>0.292676448665458</v>
      </c>
      <c r="C45">
        <v>-9.1240080095302462E-2</v>
      </c>
      <c r="D45">
        <v>-1.1376941821498503</v>
      </c>
      <c r="F45">
        <v>32.456140350877192</v>
      </c>
      <c r="G45">
        <v>0.15867670966544042</v>
      </c>
    </row>
    <row r="46" spans="1:7">
      <c r="A46">
        <v>20</v>
      </c>
      <c r="B46">
        <v>0.33310550421122787</v>
      </c>
      <c r="C46">
        <v>-2.7095824274373459E-2</v>
      </c>
      <c r="D46">
        <v>-0.3378642544516629</v>
      </c>
      <c r="F46">
        <v>34.210526315789465</v>
      </c>
      <c r="G46">
        <v>0.16313552957338034</v>
      </c>
    </row>
    <row r="47" spans="1:7">
      <c r="A47">
        <v>21</v>
      </c>
      <c r="B47">
        <v>0.33310550421122787</v>
      </c>
      <c r="C47">
        <v>-0.10591496162696173</v>
      </c>
      <c r="D47">
        <v>-1.3206787578414561</v>
      </c>
      <c r="F47">
        <v>35.964912280701746</v>
      </c>
      <c r="G47">
        <v>0.18005952380952384</v>
      </c>
    </row>
    <row r="48" spans="1:7">
      <c r="A48">
        <v>22</v>
      </c>
      <c r="B48">
        <v>0.33310550421122787</v>
      </c>
      <c r="C48">
        <v>-6.4983578723180502E-2</v>
      </c>
      <c r="D48">
        <v>-0.81029564388168107</v>
      </c>
      <c r="F48">
        <v>37.719298245614027</v>
      </c>
      <c r="G48">
        <v>0.18274629630683206</v>
      </c>
    </row>
    <row r="49" spans="1:7">
      <c r="A49">
        <v>23</v>
      </c>
      <c r="B49">
        <v>0.36638717207476768</v>
      </c>
      <c r="C49">
        <v>-5.3293117749392938E-2</v>
      </c>
      <c r="D49">
        <v>-0.66452451541888669</v>
      </c>
      <c r="F49">
        <v>39.473684210526308</v>
      </c>
      <c r="G49">
        <v>0.18288294251160697</v>
      </c>
    </row>
    <row r="50" spans="1:7">
      <c r="A50">
        <v>24</v>
      </c>
      <c r="B50">
        <v>0.36638717207476768</v>
      </c>
      <c r="C50">
        <v>-5.1882079454164676E-2</v>
      </c>
      <c r="D50">
        <v>-0.64692994450668417</v>
      </c>
      <c r="F50">
        <v>41.228070175438589</v>
      </c>
      <c r="G50">
        <v>0.18435985521516077</v>
      </c>
    </row>
    <row r="51" spans="1:7">
      <c r="A51">
        <v>25</v>
      </c>
      <c r="B51">
        <v>0.36638717207476768</v>
      </c>
      <c r="C51">
        <v>-9.1646407983353106E-2</v>
      </c>
      <c r="D51">
        <v>-1.1427607808836262</v>
      </c>
      <c r="F51">
        <v>42.98245614035087</v>
      </c>
      <c r="G51">
        <v>0.18848864380072042</v>
      </c>
    </row>
    <row r="52" spans="1:7">
      <c r="A52">
        <v>26</v>
      </c>
      <c r="B52">
        <v>0.36638717207476768</v>
      </c>
      <c r="C52">
        <v>-6.437794601447816E-2</v>
      </c>
      <c r="D52">
        <v>-0.80274386610495607</v>
      </c>
      <c r="F52">
        <v>44.73684210526315</v>
      </c>
      <c r="G52">
        <v>0.19337460652021549</v>
      </c>
    </row>
    <row r="53" spans="1:7">
      <c r="A53">
        <v>27</v>
      </c>
      <c r="B53">
        <v>0.36638717207476768</v>
      </c>
      <c r="C53">
        <v>-5.9589415856452166E-2</v>
      </c>
      <c r="D53">
        <v>-0.74303454870689123</v>
      </c>
      <c r="F53">
        <v>46.491228070175431</v>
      </c>
      <c r="G53">
        <v>0.19491772976184968</v>
      </c>
    </row>
    <row r="54" spans="1:7">
      <c r="A54">
        <v>28</v>
      </c>
      <c r="B54">
        <v>0.36638717207476768</v>
      </c>
      <c r="C54">
        <v>-9.2440610501057063E-2</v>
      </c>
      <c r="D54">
        <v>-1.1526638802988916</v>
      </c>
      <c r="F54">
        <v>48.245614035087712</v>
      </c>
      <c r="G54">
        <v>0.20143636857015554</v>
      </c>
    </row>
    <row r="55" spans="1:7">
      <c r="A55">
        <v>29</v>
      </c>
      <c r="B55">
        <v>0.28652417378861372</v>
      </c>
      <c r="C55">
        <v>-1.941336465904181E-2</v>
      </c>
      <c r="D55">
        <v>-0.24206984480368199</v>
      </c>
      <c r="F55">
        <v>49.999999999999993</v>
      </c>
      <c r="G55">
        <v>0.21370902953673371</v>
      </c>
    </row>
    <row r="56" spans="1:7">
      <c r="A56">
        <v>30</v>
      </c>
      <c r="B56">
        <v>0.28652417378861372</v>
      </c>
      <c r="C56">
        <v>-6.2701379907798144E-2</v>
      </c>
      <c r="D56">
        <v>-0.78183836598300172</v>
      </c>
      <c r="F56">
        <v>51.754385964912274</v>
      </c>
      <c r="G56">
        <v>0.22382279388081558</v>
      </c>
    </row>
    <row r="57" spans="1:7">
      <c r="A57">
        <v>31</v>
      </c>
      <c r="B57">
        <v>0.28652417378861372</v>
      </c>
      <c r="C57">
        <v>-5.596709504844477E-2</v>
      </c>
      <c r="D57">
        <v>-0.69786697207997705</v>
      </c>
      <c r="F57">
        <v>53.508771929824555</v>
      </c>
      <c r="G57">
        <v>0.22501717760090295</v>
      </c>
    </row>
    <row r="58" spans="1:7">
      <c r="A58">
        <v>32</v>
      </c>
      <c r="B58">
        <v>0.28652417378861372</v>
      </c>
      <c r="C58">
        <v>-6.1506996187710772E-2</v>
      </c>
      <c r="D58">
        <v>-0.76694531231427898</v>
      </c>
      <c r="F58">
        <v>55.263157894736835</v>
      </c>
      <c r="G58">
        <v>0.22719054258426613</v>
      </c>
    </row>
    <row r="59" spans="1:7">
      <c r="A59">
        <v>33</v>
      </c>
      <c r="B59">
        <v>0.27117169779143901</v>
      </c>
      <c r="C59">
        <v>2.3361097139479148E-2</v>
      </c>
      <c r="D59">
        <v>0.2912950566950599</v>
      </c>
      <c r="F59">
        <v>57.017543859649116</v>
      </c>
      <c r="G59">
        <v>0.23055707874016895</v>
      </c>
    </row>
    <row r="60" spans="1:7">
      <c r="A60">
        <v>34</v>
      </c>
      <c r="B60">
        <v>0.27117169779143901</v>
      </c>
      <c r="C60">
        <v>-9.037580789739541E-3</v>
      </c>
      <c r="D60">
        <v>-0.11269173672859698</v>
      </c>
      <c r="F60">
        <v>58.771929824561397</v>
      </c>
      <c r="G60">
        <v>0.25446428571428575</v>
      </c>
    </row>
    <row r="61" spans="1:7">
      <c r="A61">
        <v>35</v>
      </c>
      <c r="B61">
        <v>-0.10569352184096548</v>
      </c>
      <c r="C61">
        <v>0.19497923612667983</v>
      </c>
      <c r="D61">
        <v>2.431242304364948</v>
      </c>
      <c r="F61">
        <v>60.526315789473678</v>
      </c>
      <c r="G61">
        <v>0.26213411700169947</v>
      </c>
    </row>
    <row r="62" spans="1:7">
      <c r="A62">
        <v>36</v>
      </c>
      <c r="B62">
        <v>8.5764866733183065E-2</v>
      </c>
      <c r="C62">
        <v>-2.4157723876040094E-2</v>
      </c>
      <c r="D62">
        <v>-0.30122838426978082</v>
      </c>
      <c r="F62">
        <v>62.280701754385959</v>
      </c>
      <c r="G62">
        <v>0.26711080912957191</v>
      </c>
    </row>
    <row r="63" spans="1:7">
      <c r="A63">
        <v>37</v>
      </c>
      <c r="B63">
        <v>0.23306625837600686</v>
      </c>
      <c r="C63">
        <v>-5.3006734566483027E-2</v>
      </c>
      <c r="D63">
        <v>-0.66095353563980452</v>
      </c>
      <c r="F63">
        <v>64.035087719298247</v>
      </c>
      <c r="G63">
        <v>0.26812192548804736</v>
      </c>
    </row>
    <row r="64" spans="1:7">
      <c r="A64">
        <v>38</v>
      </c>
      <c r="B64">
        <v>2.782104845102662E-4</v>
      </c>
      <c r="C64">
        <v>8.9773662413030905E-2</v>
      </c>
      <c r="D64">
        <v>1.119409072535968</v>
      </c>
      <c r="F64">
        <v>65.78947368421052</v>
      </c>
      <c r="G64">
        <v>0.27394656157371061</v>
      </c>
    </row>
    <row r="65" spans="1:7">
      <c r="A65">
        <v>39</v>
      </c>
      <c r="B65">
        <v>2.782104845102662E-4</v>
      </c>
      <c r="C65">
        <v>8.9800391854975542E-2</v>
      </c>
      <c r="D65">
        <v>1.1197423682823193</v>
      </c>
      <c r="F65">
        <v>67.543859649122794</v>
      </c>
      <c r="G65">
        <v>0.27474076409141457</v>
      </c>
    </row>
    <row r="66" spans="1:7">
      <c r="A66">
        <v>40</v>
      </c>
      <c r="B66">
        <v>2.782104845102662E-4</v>
      </c>
      <c r="C66">
        <v>0.10058352749963895</v>
      </c>
      <c r="D66">
        <v>1.2541998421847107</v>
      </c>
      <c r="F66">
        <v>69.298245614035082</v>
      </c>
      <c r="G66">
        <v>0.28977146430933753</v>
      </c>
    </row>
    <row r="67" spans="1:7">
      <c r="A67">
        <v>41</v>
      </c>
      <c r="B67">
        <v>0.13594469959644567</v>
      </c>
      <c r="C67">
        <v>-1.8120782778519778E-2</v>
      </c>
      <c r="D67">
        <v>-0.22595233500002784</v>
      </c>
      <c r="F67">
        <v>71.052631578947356</v>
      </c>
      <c r="G67">
        <v>0.29453279493091816</v>
      </c>
    </row>
    <row r="68" spans="1:7">
      <c r="A68">
        <v>42</v>
      </c>
      <c r="B68">
        <v>0.13594469959644567</v>
      </c>
      <c r="C68">
        <v>-1.902053418208946E-2</v>
      </c>
      <c r="D68">
        <v>-0.23717154848770969</v>
      </c>
      <c r="F68">
        <v>72.807017543859644</v>
      </c>
      <c r="G68">
        <v>0.30200922606028952</v>
      </c>
    </row>
    <row r="69" spans="1:7">
      <c r="A69">
        <v>43</v>
      </c>
      <c r="B69">
        <v>0.13594469959644567</v>
      </c>
      <c r="C69">
        <v>-1.0985571520781473E-2</v>
      </c>
      <c r="D69">
        <v>-0.13698169481799527</v>
      </c>
      <c r="F69">
        <v>74.561403508771917</v>
      </c>
      <c r="G69">
        <v>0.30600967993685441</v>
      </c>
    </row>
    <row r="70" spans="1:7">
      <c r="A70">
        <v>44</v>
      </c>
      <c r="B70">
        <v>0.13594469959644567</v>
      </c>
      <c r="C70">
        <v>-1.2299804814517146E-2</v>
      </c>
      <c r="D70">
        <v>-0.15336918122428669</v>
      </c>
      <c r="F70">
        <v>76.315789473684205</v>
      </c>
      <c r="G70">
        <v>0.30679775621831551</v>
      </c>
    </row>
    <row r="71" spans="1:7">
      <c r="A71">
        <v>45</v>
      </c>
      <c r="B71">
        <v>0.21590003790248496</v>
      </c>
      <c r="C71">
        <v>-5.276450832910462E-2</v>
      </c>
      <c r="D71">
        <v>-0.65793315927952933</v>
      </c>
      <c r="F71">
        <v>78.070175438596479</v>
      </c>
      <c r="G71">
        <v>0.31309405432537474</v>
      </c>
    </row>
    <row r="72" spans="1:7">
      <c r="A72">
        <v>46</v>
      </c>
      <c r="B72">
        <v>0.21590003790248496</v>
      </c>
      <c r="C72">
        <v>-3.3153741595652902E-2</v>
      </c>
      <c r="D72">
        <v>-0.41340186122672834</v>
      </c>
      <c r="F72">
        <v>79.824561403508767</v>
      </c>
      <c r="G72">
        <v>0.314505092620603</v>
      </c>
    </row>
    <row r="73" spans="1:7">
      <c r="A73">
        <v>47</v>
      </c>
      <c r="B73">
        <v>0.21590003790248496</v>
      </c>
      <c r="C73">
        <v>-3.3017095390877993E-2</v>
      </c>
      <c r="D73">
        <v>-0.41169798731492457</v>
      </c>
      <c r="F73">
        <v>81.578947368421041</v>
      </c>
      <c r="G73">
        <v>0.39702380952380961</v>
      </c>
    </row>
    <row r="74" spans="1:7">
      <c r="A74">
        <v>48</v>
      </c>
      <c r="B74">
        <v>0.21590003790248496</v>
      </c>
      <c r="C74">
        <v>-2.7411394101764547E-2</v>
      </c>
      <c r="D74">
        <v>-0.34179916941786931</v>
      </c>
      <c r="F74">
        <v>83.333333333333329</v>
      </c>
      <c r="G74">
        <v>0.44136904761904766</v>
      </c>
    </row>
    <row r="75" spans="1:7">
      <c r="A75">
        <v>49</v>
      </c>
      <c r="B75">
        <v>0.14567218160610995</v>
      </c>
      <c r="C75">
        <v>-3.3647151945333603E-2</v>
      </c>
      <c r="D75">
        <v>-0.419554311812676</v>
      </c>
      <c r="F75">
        <v>85.087719298245602</v>
      </c>
      <c r="G75">
        <v>0.51607142857142863</v>
      </c>
    </row>
    <row r="76" spans="1:7">
      <c r="A76">
        <v>50</v>
      </c>
      <c r="B76">
        <v>0.14567218160610995</v>
      </c>
      <c r="C76">
        <v>-2.8669569927197741E-2</v>
      </c>
      <c r="D76">
        <v>-0.35748766196655818</v>
      </c>
      <c r="F76">
        <v>86.84210526315789</v>
      </c>
      <c r="G76">
        <v>0.53035714285714286</v>
      </c>
    </row>
    <row r="77" spans="1:7">
      <c r="A77">
        <v>51</v>
      </c>
      <c r="B77">
        <v>0.14567218160610995</v>
      </c>
      <c r="C77">
        <v>-1.3029067797836968E-2</v>
      </c>
      <c r="D77">
        <v>-0.16246253419497225</v>
      </c>
      <c r="F77">
        <v>88.596491228070164</v>
      </c>
      <c r="G77">
        <v>0.53050595238095233</v>
      </c>
    </row>
    <row r="78" spans="1:7">
      <c r="A78">
        <v>52</v>
      </c>
      <c r="B78">
        <v>0.14782677510747599</v>
      </c>
      <c r="C78">
        <v>8.9549270086427268E-3</v>
      </c>
      <c r="D78">
        <v>0.11166110714356908</v>
      </c>
      <c r="F78">
        <v>90.350877192982452</v>
      </c>
      <c r="G78">
        <v>0.57053571428571426</v>
      </c>
    </row>
    <row r="79" spans="1:7">
      <c r="A79">
        <v>53</v>
      </c>
      <c r="B79">
        <v>0.14782677510747599</v>
      </c>
      <c r="C79">
        <v>-2.6637835254879783E-2</v>
      </c>
      <c r="D79">
        <v>-0.33215348082649493</v>
      </c>
      <c r="F79">
        <v>92.105263157894726</v>
      </c>
      <c r="G79">
        <v>0.59196428571428572</v>
      </c>
    </row>
    <row r="80" spans="1:7">
      <c r="A80">
        <v>54</v>
      </c>
      <c r="B80">
        <v>0.14782677510747599</v>
      </c>
      <c r="C80">
        <v>-6.8814468334446044E-3</v>
      </c>
      <c r="D80">
        <v>-8.5806391434618171E-2</v>
      </c>
      <c r="F80">
        <v>93.859649122807014</v>
      </c>
      <c r="G80">
        <v>0.59960317460317469</v>
      </c>
    </row>
    <row r="81" spans="1:7">
      <c r="A81">
        <v>55</v>
      </c>
      <c r="B81">
        <v>0.14782677510747599</v>
      </c>
      <c r="C81">
        <v>-2.5144104763314079E-2</v>
      </c>
      <c r="D81">
        <v>-0.31352780132052488</v>
      </c>
      <c r="F81">
        <v>95.614035087719287</v>
      </c>
      <c r="G81">
        <v>0.61964285714285716</v>
      </c>
    </row>
    <row r="82" spans="1:7">
      <c r="A82">
        <v>56</v>
      </c>
      <c r="B82">
        <v>0.16262974034680705</v>
      </c>
      <c r="C82">
        <v>-3.9530306813666261E-3</v>
      </c>
      <c r="D82">
        <v>-4.9291276414412277E-2</v>
      </c>
      <c r="F82">
        <v>97.368421052631575</v>
      </c>
      <c r="G82">
        <v>0.63675595238095239</v>
      </c>
    </row>
    <row r="83" spans="1:7" ht="15.6" thickBot="1">
      <c r="A83" s="26">
        <v>57</v>
      </c>
      <c r="B83" s="26">
        <v>0.16262974034680705</v>
      </c>
      <c r="C83" s="26">
        <v>2.1730114868353717E-2</v>
      </c>
      <c r="D83" s="26">
        <v>0.2709579522217761</v>
      </c>
      <c r="F83" s="26">
        <v>99.122807017543849</v>
      </c>
      <c r="G83" s="26">
        <v>0.70744047619047623</v>
      </c>
    </row>
  </sheetData>
  <sortState xmlns:xlrd2="http://schemas.microsoft.com/office/spreadsheetml/2017/richdata2" ref="G27:G83">
    <sortCondition ref="G27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zoomScaleNormal="100" workbookViewId="0">
      <selection activeCell="C4" sqref="C4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21">
        <v>0.3</v>
      </c>
      <c r="B2" s="21">
        <v>0.3</v>
      </c>
      <c r="C2" s="13">
        <f t="shared" ref="C2:C33" si="0">SQRT(POWER(A2, 2) + POWER(B2, 2) - 2 * A2 * B2 * COS(RADIANS(E2)))</f>
        <v>0.15529142706151244</v>
      </c>
      <c r="D2" s="14">
        <f t="shared" ref="D2:D33" si="1">180-E2-F2</f>
        <v>75</v>
      </c>
      <c r="E2" s="21">
        <v>30</v>
      </c>
      <c r="F2" s="14">
        <f t="shared" ref="F2:F33" si="2">DEGREES(ACOS((POWER(C2, 2) + POWER(A2, 2) - POWER(B2, 2)) / (2 * C2 *A2)))</f>
        <v>75</v>
      </c>
      <c r="G2" s="21">
        <v>202.6</v>
      </c>
      <c r="H2" s="21">
        <v>142.1</v>
      </c>
      <c r="I2" s="21">
        <v>131.30000000000001</v>
      </c>
      <c r="J2" s="43">
        <f>SQRT(POWER(H2, 2) + POWER(G2, 2) - 2 * G2 * H2 * COS(RADIANS(I2)))</f>
        <v>315.02595645341569</v>
      </c>
      <c r="K2" s="13">
        <f>G2/1.12/1000</f>
        <v>0.18089285714285711</v>
      </c>
      <c r="L2" s="13">
        <f t="shared" ref="L2" si="3">H2/1.12/1000</f>
        <v>0.12687499999999999</v>
      </c>
      <c r="M2" s="13">
        <f>I2</f>
        <v>131.30000000000001</v>
      </c>
      <c r="N2" s="13">
        <f>J2/1.12/1000</f>
        <v>0.28127317540483537</v>
      </c>
      <c r="O2" s="16">
        <f t="shared" ref="O2:O35" si="4">A2-N2</f>
        <v>1.8726824595164615E-2</v>
      </c>
      <c r="P2" s="16">
        <f>(B2-K2)/B2</f>
        <v>0.39702380952380961</v>
      </c>
      <c r="Q2" s="16">
        <f>(C2-L2)/C2</f>
        <v>0.18298773859716308</v>
      </c>
      <c r="R2" s="16">
        <f>D2-M2</f>
        <v>-56.300000000000011</v>
      </c>
      <c r="S2" s="16">
        <f>(B2-K2)</f>
        <v>0.11910714285714288</v>
      </c>
      <c r="T2" s="16">
        <f>(C2-L2)</f>
        <v>2.8416427061512456E-2</v>
      </c>
      <c r="U2" s="6">
        <f>ABS(S2-T2)</f>
        <v>9.0690715795630428E-2</v>
      </c>
      <c r="V2" s="35">
        <f>B2/C2</f>
        <v>1.9318516525781366</v>
      </c>
      <c r="W2" s="4">
        <f>S2*1000/22</f>
        <v>5.4139610389610402</v>
      </c>
      <c r="X2" s="4">
        <f>T2*1000/22</f>
        <v>1.2916557755232934</v>
      </c>
    </row>
    <row r="3" spans="1:24">
      <c r="A3" s="18">
        <v>0.3</v>
      </c>
      <c r="B3" s="18">
        <v>0.3</v>
      </c>
      <c r="C3" s="19">
        <f>SQRT(POWER(A3, 2) + POWER(B3, 2) - 2 * A3 * B3 * COS(RADIANS(E3)))</f>
        <v>0.3</v>
      </c>
      <c r="D3" s="20">
        <f t="shared" si="1"/>
        <v>60.000000000000007</v>
      </c>
      <c r="E3" s="18">
        <v>60</v>
      </c>
      <c r="F3" s="20">
        <f t="shared" si="2"/>
        <v>59.999999999999993</v>
      </c>
      <c r="G3" s="18">
        <v>187.7</v>
      </c>
      <c r="H3" s="18">
        <v>205.1</v>
      </c>
      <c r="I3" s="18">
        <v>107.5</v>
      </c>
      <c r="J3" s="43">
        <f t="shared" ref="J3:J58" si="5">SQRT(POWER(H3, 2) + POWER(G3, 2) - 2 * G3 * H3 * COS(RADIANS(I3)))</f>
        <v>316.93848726237673</v>
      </c>
      <c r="K3" s="13">
        <f t="shared" ref="K3:K15" si="6">G3/1.12/1000</f>
        <v>0.16758928571428569</v>
      </c>
      <c r="L3" s="13">
        <f t="shared" ref="L3:L15" si="7">H3/1.12/1000</f>
        <v>0.18312499999999998</v>
      </c>
      <c r="M3" s="13">
        <f>I3</f>
        <v>107.5</v>
      </c>
      <c r="N3" s="13">
        <f t="shared" ref="N3:N58" si="8">J3/1.12/1000</f>
        <v>0.2829807921985506</v>
      </c>
      <c r="O3" s="16">
        <f t="shared" si="4"/>
        <v>1.7019207801449387E-2</v>
      </c>
      <c r="P3" s="16">
        <f t="shared" ref="P3:P33" si="9">(B3-K3)/B3</f>
        <v>0.44136904761904766</v>
      </c>
      <c r="Q3" s="16">
        <f t="shared" ref="Q3:Q33" si="10">(C3-L3)/C3</f>
        <v>0.38958333333333339</v>
      </c>
      <c r="R3" s="16">
        <f>D3-M3</f>
        <v>-47.499999999999993</v>
      </c>
      <c r="S3" s="16">
        <f t="shared" ref="S3:S58" si="11">(B3-K3)</f>
        <v>0.1324107142857143</v>
      </c>
      <c r="T3" s="16">
        <f t="shared" ref="T3:T58" si="12">(C3-L3)</f>
        <v>0.11687500000000001</v>
      </c>
      <c r="U3" s="6">
        <f t="shared" ref="U3:U58" si="13">ABS(S3-T3)</f>
        <v>1.5535714285714292E-2</v>
      </c>
      <c r="V3" s="35">
        <f t="shared" ref="V3:V58" si="14">B3/C3</f>
        <v>1</v>
      </c>
      <c r="W3" s="4">
        <f t="shared" ref="W3:W58" si="15">S3*1000/22</f>
        <v>6.0186688311688323</v>
      </c>
      <c r="X3" s="4">
        <f t="shared" ref="X3:X58" si="16">T3*1000/22</f>
        <v>5.3125</v>
      </c>
    </row>
    <row r="4" spans="1:24">
      <c r="A4" s="18">
        <v>0.3</v>
      </c>
      <c r="B4" s="18">
        <v>0.3</v>
      </c>
      <c r="C4" s="19">
        <f t="shared" si="0"/>
        <v>0.42426406871192851</v>
      </c>
      <c r="D4" s="20">
        <f t="shared" si="1"/>
        <v>45.000000000000014</v>
      </c>
      <c r="E4" s="18">
        <v>90</v>
      </c>
      <c r="F4" s="20">
        <f t="shared" si="2"/>
        <v>44.999999999999986</v>
      </c>
      <c r="G4" s="18">
        <v>157.80000000000001</v>
      </c>
      <c r="H4" s="18">
        <v>238.4</v>
      </c>
      <c r="I4" s="18">
        <v>97.9</v>
      </c>
      <c r="J4" s="43">
        <f t="shared" si="5"/>
        <v>303.44125575977756</v>
      </c>
      <c r="K4" s="13">
        <f t="shared" si="6"/>
        <v>0.14089285714285713</v>
      </c>
      <c r="L4" s="13">
        <f t="shared" si="7"/>
        <v>0.21285714285714283</v>
      </c>
      <c r="M4" s="13">
        <f t="shared" ref="M4:M15" si="17">I4</f>
        <v>97.9</v>
      </c>
      <c r="N4" s="13">
        <f t="shared" si="8"/>
        <v>0.27092969264265848</v>
      </c>
      <c r="O4" s="16">
        <f t="shared" si="4"/>
        <v>2.9070307357341507E-2</v>
      </c>
      <c r="P4" s="16">
        <f t="shared" si="9"/>
        <v>0.53035714285714286</v>
      </c>
      <c r="Q4" s="16">
        <f t="shared" si="10"/>
        <v>0.49829090287240208</v>
      </c>
      <c r="R4" s="16">
        <f t="shared" ref="R4:R33" si="18">D4-M4</f>
        <v>-52.899999999999991</v>
      </c>
      <c r="S4" s="16">
        <f>(B4-K4)</f>
        <v>0.15910714285714286</v>
      </c>
      <c r="T4" s="16">
        <f t="shared" si="12"/>
        <v>0.21140692585478568</v>
      </c>
      <c r="U4" s="6">
        <f t="shared" si="13"/>
        <v>5.2299782997642819E-2</v>
      </c>
      <c r="V4" s="35">
        <f t="shared" si="14"/>
        <v>0.70710678118654746</v>
      </c>
      <c r="W4" s="4">
        <f t="shared" si="15"/>
        <v>7.2321428571428577</v>
      </c>
      <c r="X4" s="4">
        <f t="shared" si="16"/>
        <v>9.6094057206720755</v>
      </c>
    </row>
    <row r="5" spans="1:24">
      <c r="A5" s="18">
        <v>0.3</v>
      </c>
      <c r="B5" s="18">
        <v>0.6</v>
      </c>
      <c r="C5" s="19">
        <f t="shared" si="0"/>
        <v>0.37179410247824268</v>
      </c>
      <c r="D5" s="20">
        <f t="shared" si="1"/>
        <v>23.793976886996859</v>
      </c>
      <c r="E5" s="18">
        <v>30</v>
      </c>
      <c r="F5" s="20">
        <f t="shared" si="2"/>
        <v>126.20602311300314</v>
      </c>
      <c r="G5" s="18">
        <v>244.1</v>
      </c>
      <c r="H5" s="18">
        <v>106.8</v>
      </c>
      <c r="I5" s="18">
        <v>113.9</v>
      </c>
      <c r="J5" s="43">
        <f t="shared" si="5"/>
        <v>303.50458826963586</v>
      </c>
      <c r="K5" s="13">
        <f t="shared" si="6"/>
        <v>0.21794642857142857</v>
      </c>
      <c r="L5" s="13">
        <f t="shared" si="7"/>
        <v>9.5357142857142849E-2</v>
      </c>
      <c r="M5" s="13">
        <f t="shared" si="17"/>
        <v>113.9</v>
      </c>
      <c r="N5" s="13">
        <f t="shared" si="8"/>
        <v>0.27098623952646056</v>
      </c>
      <c r="O5" s="16">
        <f t="shared" si="4"/>
        <v>2.9013760473539429E-2</v>
      </c>
      <c r="P5" s="16">
        <f t="shared" si="9"/>
        <v>0.63675595238095239</v>
      </c>
      <c r="Q5" s="16">
        <f t="shared" si="10"/>
        <v>0.74352163678356586</v>
      </c>
      <c r="R5" s="16">
        <f t="shared" si="18"/>
        <v>-90.106023113003147</v>
      </c>
      <c r="S5" s="16">
        <f t="shared" si="11"/>
        <v>0.38205357142857144</v>
      </c>
      <c r="T5" s="16">
        <f t="shared" si="12"/>
        <v>0.27643695962109982</v>
      </c>
      <c r="U5" s="6">
        <f t="shared" si="13"/>
        <v>0.10561661180747162</v>
      </c>
      <c r="V5" s="35">
        <f t="shared" si="14"/>
        <v>1.6137964427101472</v>
      </c>
      <c r="W5" s="4">
        <f t="shared" si="15"/>
        <v>17.366071428571431</v>
      </c>
      <c r="X5" s="4">
        <f t="shared" si="16"/>
        <v>12.565316346413629</v>
      </c>
    </row>
    <row r="6" spans="1:24">
      <c r="A6" s="18">
        <v>0.3</v>
      </c>
      <c r="B6" s="18">
        <v>0.6</v>
      </c>
      <c r="C6" s="19">
        <f t="shared" si="0"/>
        <v>0.51961524227066314</v>
      </c>
      <c r="D6" s="20">
        <f t="shared" si="1"/>
        <v>30</v>
      </c>
      <c r="E6" s="18">
        <v>60</v>
      </c>
      <c r="F6" s="20">
        <f t="shared" si="2"/>
        <v>90</v>
      </c>
      <c r="G6" s="18">
        <v>315.5</v>
      </c>
      <c r="H6" s="18">
        <v>284.8</v>
      </c>
      <c r="I6" s="18">
        <v>57.7</v>
      </c>
      <c r="J6" s="43">
        <f t="shared" si="5"/>
        <v>290.90113529165467</v>
      </c>
      <c r="K6" s="13">
        <f t="shared" si="6"/>
        <v>0.28169642857142857</v>
      </c>
      <c r="L6" s="13">
        <f t="shared" si="7"/>
        <v>0.25428571428571428</v>
      </c>
      <c r="M6" s="13">
        <f t="shared" si="17"/>
        <v>57.7</v>
      </c>
      <c r="N6" s="13">
        <f t="shared" si="8"/>
        <v>0.25973315651040596</v>
      </c>
      <c r="O6" s="16">
        <f t="shared" si="4"/>
        <v>4.0266843489594029E-2</v>
      </c>
      <c r="P6" s="16">
        <f t="shared" si="9"/>
        <v>0.53050595238095233</v>
      </c>
      <c r="Q6" s="16">
        <f t="shared" si="10"/>
        <v>0.51062691468688859</v>
      </c>
      <c r="R6" s="16">
        <f t="shared" si="18"/>
        <v>-27.700000000000003</v>
      </c>
      <c r="S6" s="16">
        <f t="shared" si="11"/>
        <v>0.31830357142857141</v>
      </c>
      <c r="T6" s="16">
        <f t="shared" si="12"/>
        <v>0.26532952798494885</v>
      </c>
      <c r="U6" s="6">
        <f t="shared" si="13"/>
        <v>5.2974043443622554E-2</v>
      </c>
      <c r="V6" s="35">
        <f t="shared" si="14"/>
        <v>1.1547005383792517</v>
      </c>
      <c r="W6" s="4">
        <f t="shared" si="15"/>
        <v>14.468344155844154</v>
      </c>
      <c r="X6" s="4">
        <f t="shared" si="16"/>
        <v>12.060433090224949</v>
      </c>
    </row>
    <row r="7" spans="1:24">
      <c r="A7" s="21">
        <v>0.3</v>
      </c>
      <c r="B7" s="21">
        <v>0.6</v>
      </c>
      <c r="C7" s="13">
        <f t="shared" si="0"/>
        <v>0.67082039324993692</v>
      </c>
      <c r="D7" s="14">
        <f t="shared" si="1"/>
        <v>26.565051177078004</v>
      </c>
      <c r="E7" s="21">
        <v>90</v>
      </c>
      <c r="F7" s="14">
        <f t="shared" si="2"/>
        <v>63.434948822921996</v>
      </c>
      <c r="G7" s="21">
        <v>288.60000000000002</v>
      </c>
      <c r="H7" s="21">
        <v>401.3</v>
      </c>
      <c r="I7" s="21">
        <v>51.6</v>
      </c>
      <c r="J7" s="43">
        <f t="shared" si="5"/>
        <v>316.94631413053867</v>
      </c>
      <c r="K7" s="13">
        <f t="shared" ref="K7" si="19">G7/1.12/1000</f>
        <v>0.25767857142857142</v>
      </c>
      <c r="L7" s="13">
        <f t="shared" ref="L7" si="20">H7/1.12/1000</f>
        <v>0.35830357142857139</v>
      </c>
      <c r="M7" s="13">
        <f t="shared" ref="M7" si="21">I7</f>
        <v>51.6</v>
      </c>
      <c r="N7" s="13">
        <f t="shared" si="8"/>
        <v>0.28298778047369522</v>
      </c>
      <c r="O7" s="16">
        <f t="shared" si="4"/>
        <v>1.7012219526304773E-2</v>
      </c>
      <c r="P7" s="16">
        <f t="shared" si="9"/>
        <v>0.57053571428571426</v>
      </c>
      <c r="Q7" s="16">
        <f t="shared" si="10"/>
        <v>0.46587257180317532</v>
      </c>
      <c r="R7" s="16">
        <f t="shared" si="18"/>
        <v>-25.034948822921997</v>
      </c>
      <c r="S7" s="16">
        <f t="shared" si="11"/>
        <v>0.34232142857142855</v>
      </c>
      <c r="T7" s="16">
        <f t="shared" si="12"/>
        <v>0.31251682182136553</v>
      </c>
      <c r="U7" s="6">
        <f t="shared" si="13"/>
        <v>2.9804606750063023E-2</v>
      </c>
      <c r="V7" s="35">
        <f t="shared" si="14"/>
        <v>0.89442719099991586</v>
      </c>
      <c r="W7" s="4">
        <f t="shared" si="15"/>
        <v>15.560064935064934</v>
      </c>
      <c r="X7" s="4">
        <f t="shared" si="16"/>
        <v>14.205310082789341</v>
      </c>
    </row>
    <row r="8" spans="1:24">
      <c r="A8" s="17">
        <v>0.3</v>
      </c>
      <c r="B8" s="17">
        <v>0.6</v>
      </c>
      <c r="C8" s="8">
        <f t="shared" si="0"/>
        <v>0.67082039324993692</v>
      </c>
      <c r="D8" s="9">
        <f t="shared" si="1"/>
        <v>26.565051177078004</v>
      </c>
      <c r="E8" s="17">
        <v>90</v>
      </c>
      <c r="F8" s="9">
        <f t="shared" si="2"/>
        <v>63.434948822921996</v>
      </c>
      <c r="G8" s="17">
        <v>325.2</v>
      </c>
      <c r="H8" s="17">
        <v>406</v>
      </c>
      <c r="I8" s="17">
        <v>50</v>
      </c>
      <c r="J8" s="43">
        <f t="shared" si="5"/>
        <v>317.57676409949948</v>
      </c>
      <c r="K8" s="8">
        <f t="shared" si="6"/>
        <v>0.29035714285714281</v>
      </c>
      <c r="L8" s="8">
        <f t="shared" si="7"/>
        <v>0.36249999999999993</v>
      </c>
      <c r="M8" s="8">
        <f t="shared" si="17"/>
        <v>50</v>
      </c>
      <c r="N8" s="13">
        <f t="shared" si="8"/>
        <v>0.28355068223169594</v>
      </c>
      <c r="O8" s="11">
        <f t="shared" si="4"/>
        <v>1.644931776830405E-2</v>
      </c>
      <c r="P8" s="11">
        <f t="shared" si="9"/>
        <v>0.51607142857142863</v>
      </c>
      <c r="Q8" s="11">
        <f t="shared" si="10"/>
        <v>0.4596169054375509</v>
      </c>
      <c r="R8" s="11">
        <f t="shared" si="18"/>
        <v>-23.434948822921996</v>
      </c>
      <c r="S8" s="16">
        <f t="shared" si="11"/>
        <v>0.30964285714285716</v>
      </c>
      <c r="T8" s="16">
        <f t="shared" si="12"/>
        <v>0.30832039324993699</v>
      </c>
      <c r="U8" s="6">
        <f t="shared" si="13"/>
        <v>1.3224638929201782E-3</v>
      </c>
      <c r="V8" s="35">
        <f t="shared" si="14"/>
        <v>0.89442719099991586</v>
      </c>
      <c r="W8" s="4">
        <f t="shared" si="15"/>
        <v>14.074675324675326</v>
      </c>
      <c r="X8" s="4">
        <f t="shared" si="16"/>
        <v>14.014563329542591</v>
      </c>
    </row>
    <row r="9" spans="1:24">
      <c r="A9" s="17">
        <v>0.3</v>
      </c>
      <c r="B9" s="17">
        <v>0.9</v>
      </c>
      <c r="C9" s="8">
        <f t="shared" si="0"/>
        <v>0.65753044184767828</v>
      </c>
      <c r="D9" s="9">
        <f t="shared" si="1"/>
        <v>13.186785432013465</v>
      </c>
      <c r="E9" s="17">
        <v>30</v>
      </c>
      <c r="F9" s="9">
        <f t="shared" si="2"/>
        <v>136.81321456798653</v>
      </c>
      <c r="G9" s="17">
        <v>294.89999999999998</v>
      </c>
      <c r="H9" s="17">
        <v>108.8</v>
      </c>
      <c r="I9" s="17">
        <v>76.5</v>
      </c>
      <c r="J9" s="43">
        <f t="shared" si="5"/>
        <v>289.5223738754558</v>
      </c>
      <c r="K9" s="3">
        <f t="shared" si="6"/>
        <v>0.26330357142857141</v>
      </c>
      <c r="L9" s="3">
        <f t="shared" si="7"/>
        <v>9.7142857142857128E-2</v>
      </c>
      <c r="M9" s="3">
        <f t="shared" si="17"/>
        <v>76.5</v>
      </c>
      <c r="N9" s="13">
        <f t="shared" si="8"/>
        <v>0.25850211953165697</v>
      </c>
      <c r="O9" s="6">
        <f t="shared" si="4"/>
        <v>4.1497880468343018E-2</v>
      </c>
      <c r="P9" s="6">
        <f t="shared" si="9"/>
        <v>0.70744047619047623</v>
      </c>
      <c r="Q9" s="6">
        <f t="shared" si="10"/>
        <v>0.85226104989164753</v>
      </c>
      <c r="R9" s="6">
        <f t="shared" si="18"/>
        <v>-63.313214567986535</v>
      </c>
      <c r="S9" s="16">
        <f t="shared" si="11"/>
        <v>0.63669642857142861</v>
      </c>
      <c r="T9" s="16">
        <f t="shared" si="12"/>
        <v>0.5603875847048212</v>
      </c>
      <c r="U9" s="6">
        <f t="shared" si="13"/>
        <v>7.6308843866607412E-2</v>
      </c>
      <c r="V9" s="35">
        <f t="shared" si="14"/>
        <v>1.3687579201215014</v>
      </c>
      <c r="W9" s="4">
        <f t="shared" si="15"/>
        <v>28.940746753246753</v>
      </c>
      <c r="X9" s="4">
        <f t="shared" si="16"/>
        <v>25.472162941128236</v>
      </c>
    </row>
    <row r="10" spans="1:24">
      <c r="A10" s="21">
        <v>0.3</v>
      </c>
      <c r="B10" s="21">
        <v>0.9</v>
      </c>
      <c r="C10" s="13">
        <f t="shared" si="0"/>
        <v>0.79372539331937708</v>
      </c>
      <c r="D10" s="14">
        <f t="shared" si="1"/>
        <v>19.106605350869074</v>
      </c>
      <c r="E10" s="21">
        <v>60</v>
      </c>
      <c r="F10" s="14">
        <f t="shared" si="2"/>
        <v>100.89339464913093</v>
      </c>
      <c r="G10" s="21">
        <v>403.6</v>
      </c>
      <c r="H10" s="21">
        <v>304.89999999999998</v>
      </c>
      <c r="I10" s="21">
        <v>45.9</v>
      </c>
      <c r="J10" s="43">
        <f t="shared" si="5"/>
        <v>290.83018621026861</v>
      </c>
      <c r="K10" s="13">
        <f t="shared" ref="K10" si="22">G10/1.12/1000</f>
        <v>0.36035714285714282</v>
      </c>
      <c r="L10" s="13">
        <f t="shared" ref="L10" si="23">H10/1.12/1000</f>
        <v>0.27223214285714281</v>
      </c>
      <c r="M10" s="13">
        <f t="shared" ref="M10" si="24">I10</f>
        <v>45.9</v>
      </c>
      <c r="N10" s="13">
        <f t="shared" si="8"/>
        <v>0.25966980911631121</v>
      </c>
      <c r="O10" s="16">
        <f t="shared" si="4"/>
        <v>4.0330190883688777E-2</v>
      </c>
      <c r="P10" s="16">
        <f t="shared" si="9"/>
        <v>0.59960317460317469</v>
      </c>
      <c r="Q10" s="16">
        <f t="shared" si="10"/>
        <v>0.65701973862942442</v>
      </c>
      <c r="R10" s="16">
        <f t="shared" si="18"/>
        <v>-26.793394649130924</v>
      </c>
      <c r="S10" s="16">
        <f t="shared" si="11"/>
        <v>0.5396428571428572</v>
      </c>
      <c r="T10" s="16">
        <f t="shared" si="12"/>
        <v>0.52149325046223427</v>
      </c>
      <c r="U10" s="6">
        <f t="shared" si="13"/>
        <v>1.8149606680622932E-2</v>
      </c>
      <c r="V10" s="35">
        <f t="shared" si="14"/>
        <v>1.1338934190276819</v>
      </c>
      <c r="W10" s="4">
        <f t="shared" si="15"/>
        <v>24.529220779220783</v>
      </c>
      <c r="X10" s="4">
        <f t="shared" si="16"/>
        <v>23.704238657374287</v>
      </c>
    </row>
    <row r="11" spans="1:24">
      <c r="A11" s="17">
        <v>0.3</v>
      </c>
      <c r="B11" s="17">
        <v>0.9</v>
      </c>
      <c r="C11" s="8">
        <f t="shared" si="0"/>
        <v>0.79372539331937708</v>
      </c>
      <c r="D11" s="9">
        <f t="shared" si="1"/>
        <v>19.106605350869074</v>
      </c>
      <c r="E11" s="17">
        <v>60</v>
      </c>
      <c r="F11" s="9">
        <f t="shared" si="2"/>
        <v>100.89339464913093</v>
      </c>
      <c r="G11" s="17">
        <v>411.3</v>
      </c>
      <c r="H11" s="17">
        <v>306.2</v>
      </c>
      <c r="I11" s="17">
        <v>45.9</v>
      </c>
      <c r="J11" s="43">
        <f t="shared" si="5"/>
        <v>296.03974612337493</v>
      </c>
      <c r="K11" s="8">
        <f t="shared" si="6"/>
        <v>0.36723214285714284</v>
      </c>
      <c r="L11" s="8">
        <f t="shared" si="7"/>
        <v>0.2733928571428571</v>
      </c>
      <c r="M11" s="8">
        <f t="shared" si="17"/>
        <v>45.9</v>
      </c>
      <c r="N11" s="13">
        <f t="shared" si="8"/>
        <v>0.26432120189587044</v>
      </c>
      <c r="O11" s="11">
        <f t="shared" si="4"/>
        <v>3.567879810412955E-2</v>
      </c>
      <c r="P11" s="11">
        <f t="shared" si="9"/>
        <v>0.59196428571428572</v>
      </c>
      <c r="Q11" s="11">
        <f t="shared" si="10"/>
        <v>0.6555573760850435</v>
      </c>
      <c r="R11" s="11">
        <f t="shared" si="18"/>
        <v>-26.793394649130924</v>
      </c>
      <c r="S11" s="16">
        <f t="shared" si="11"/>
        <v>0.53276785714285713</v>
      </c>
      <c r="T11" s="16">
        <f t="shared" si="12"/>
        <v>0.52033253617651998</v>
      </c>
      <c r="U11" s="6">
        <f t="shared" si="13"/>
        <v>1.2435320966337149E-2</v>
      </c>
      <c r="V11" s="35">
        <f t="shared" si="14"/>
        <v>1.1338934190276819</v>
      </c>
      <c r="W11" s="4">
        <f t="shared" si="15"/>
        <v>24.216720779220779</v>
      </c>
      <c r="X11" s="4">
        <f t="shared" si="16"/>
        <v>23.651478917114545</v>
      </c>
    </row>
    <row r="12" spans="1:24">
      <c r="A12" s="17">
        <v>0.3</v>
      </c>
      <c r="B12" s="17">
        <v>0.9</v>
      </c>
      <c r="C12" s="8">
        <f t="shared" si="0"/>
        <v>0.94868329805051377</v>
      </c>
      <c r="D12" s="9">
        <f t="shared" si="1"/>
        <v>18.434948822921996</v>
      </c>
      <c r="E12" s="17">
        <v>90</v>
      </c>
      <c r="F12" s="9">
        <f t="shared" si="2"/>
        <v>71.565051177078004</v>
      </c>
      <c r="G12" s="17">
        <v>383.4</v>
      </c>
      <c r="H12" s="17">
        <v>398.1</v>
      </c>
      <c r="I12" s="17">
        <v>44</v>
      </c>
      <c r="J12" s="43">
        <f t="shared" si="5"/>
        <v>293.07215320128637</v>
      </c>
      <c r="K12" s="3">
        <f t="shared" si="6"/>
        <v>0.3423214285714285</v>
      </c>
      <c r="L12" s="3">
        <f t="shared" si="7"/>
        <v>0.35544642857142855</v>
      </c>
      <c r="M12" s="3">
        <f t="shared" si="17"/>
        <v>44</v>
      </c>
      <c r="N12" s="13">
        <f t="shared" si="8"/>
        <v>0.26167156535829139</v>
      </c>
      <c r="O12" s="6">
        <f t="shared" si="4"/>
        <v>3.8328434641708597E-2</v>
      </c>
      <c r="P12" s="6">
        <f t="shared" si="9"/>
        <v>0.61964285714285716</v>
      </c>
      <c r="Q12" s="6">
        <f t="shared" si="10"/>
        <v>0.62532656651397867</v>
      </c>
      <c r="R12" s="6">
        <f t="shared" si="18"/>
        <v>-25.565051177078004</v>
      </c>
      <c r="S12" s="16">
        <f t="shared" si="11"/>
        <v>0.55767857142857147</v>
      </c>
      <c r="T12" s="16">
        <f t="shared" si="12"/>
        <v>0.59323686947908527</v>
      </c>
      <c r="U12" s="6">
        <f t="shared" si="13"/>
        <v>3.5558298050513804E-2</v>
      </c>
      <c r="V12" s="35">
        <f t="shared" si="14"/>
        <v>0.94868329805051388</v>
      </c>
      <c r="W12" s="4">
        <f t="shared" si="15"/>
        <v>25.349025974025974</v>
      </c>
      <c r="X12" s="4">
        <f t="shared" si="16"/>
        <v>26.96531224904933</v>
      </c>
    </row>
    <row r="13" spans="1:24">
      <c r="A13" s="18">
        <v>0.6</v>
      </c>
      <c r="B13" s="18">
        <v>0.3</v>
      </c>
      <c r="C13" s="19">
        <f t="shared" si="0"/>
        <v>0.37179410247824268</v>
      </c>
      <c r="D13" s="20">
        <f t="shared" si="1"/>
        <v>126.20602311300313</v>
      </c>
      <c r="E13" s="18">
        <v>30</v>
      </c>
      <c r="F13" s="20">
        <f t="shared" si="2"/>
        <v>23.793976886996873</v>
      </c>
      <c r="G13" s="18">
        <v>302.10000000000002</v>
      </c>
      <c r="H13" s="18">
        <v>361.5</v>
      </c>
      <c r="I13" s="18">
        <v>132.69999999999999</v>
      </c>
      <c r="J13" s="43">
        <f t="shared" si="5"/>
        <v>608.33308493057098</v>
      </c>
      <c r="K13" s="13">
        <f t="shared" si="6"/>
        <v>0.26973214285714281</v>
      </c>
      <c r="L13" s="13">
        <f t="shared" si="7"/>
        <v>0.32276785714285711</v>
      </c>
      <c r="M13" s="13">
        <f t="shared" si="17"/>
        <v>132.69999999999999</v>
      </c>
      <c r="N13" s="13">
        <f t="shared" si="8"/>
        <v>0.54315454011658115</v>
      </c>
      <c r="O13" s="16">
        <f t="shared" si="4"/>
        <v>5.6845459883418825E-2</v>
      </c>
      <c r="P13" s="16">
        <f t="shared" si="9"/>
        <v>0.10089285714285727</v>
      </c>
      <c r="Q13" s="16">
        <f t="shared" si="10"/>
        <v>0.13186396720280033</v>
      </c>
      <c r="R13" s="16">
        <f t="shared" si="18"/>
        <v>-6.4939768869968617</v>
      </c>
      <c r="S13" s="16">
        <f t="shared" si="11"/>
        <v>3.026785714285718E-2</v>
      </c>
      <c r="T13" s="16">
        <f t="shared" si="12"/>
        <v>4.9026245335385576E-2</v>
      </c>
      <c r="U13" s="6">
        <f t="shared" si="13"/>
        <v>1.8758388192528397E-2</v>
      </c>
      <c r="V13" s="35">
        <f t="shared" si="14"/>
        <v>0.80689822135507361</v>
      </c>
      <c r="W13" s="4">
        <f t="shared" si="15"/>
        <v>1.37581168831169</v>
      </c>
      <c r="X13" s="4">
        <f t="shared" si="16"/>
        <v>2.2284656970629806</v>
      </c>
    </row>
    <row r="14" spans="1:24">
      <c r="A14" s="18">
        <v>0.6</v>
      </c>
      <c r="B14" s="18">
        <v>0.3</v>
      </c>
      <c r="C14" s="19">
        <f t="shared" si="0"/>
        <v>0.51961524227066314</v>
      </c>
      <c r="D14" s="20">
        <f t="shared" si="1"/>
        <v>90</v>
      </c>
      <c r="E14" s="18">
        <v>60</v>
      </c>
      <c r="F14" s="20">
        <f t="shared" si="2"/>
        <v>29.999999999999993</v>
      </c>
      <c r="G14" s="18">
        <v>289.10000000000002</v>
      </c>
      <c r="H14" s="18">
        <v>469.9</v>
      </c>
      <c r="I14" s="18">
        <v>110.6</v>
      </c>
      <c r="J14" s="43">
        <f t="shared" si="5"/>
        <v>632.43881272140516</v>
      </c>
      <c r="K14" s="13">
        <f t="shared" si="6"/>
        <v>0.25812499999999999</v>
      </c>
      <c r="L14" s="13">
        <f t="shared" si="7"/>
        <v>0.41955357142857141</v>
      </c>
      <c r="M14" s="13">
        <f t="shared" si="17"/>
        <v>110.6</v>
      </c>
      <c r="N14" s="13">
        <f t="shared" si="8"/>
        <v>0.56467751135839739</v>
      </c>
      <c r="O14" s="16">
        <f t="shared" si="4"/>
        <v>3.532248864160259E-2</v>
      </c>
      <c r="P14" s="16">
        <f t="shared" si="9"/>
        <v>0.13958333333333334</v>
      </c>
      <c r="Q14" s="16">
        <f t="shared" si="10"/>
        <v>0.19256877532081795</v>
      </c>
      <c r="R14" s="16">
        <f t="shared" si="18"/>
        <v>-20.599999999999994</v>
      </c>
      <c r="S14" s="16">
        <f t="shared" si="11"/>
        <v>4.1874999999999996E-2</v>
      </c>
      <c r="T14" s="16">
        <f t="shared" si="12"/>
        <v>0.10006167084209172</v>
      </c>
      <c r="U14" s="6">
        <f t="shared" si="13"/>
        <v>5.8186670842091726E-2</v>
      </c>
      <c r="V14" s="35">
        <f t="shared" si="14"/>
        <v>0.57735026918962584</v>
      </c>
      <c r="W14" s="4">
        <f t="shared" si="15"/>
        <v>1.9034090909090906</v>
      </c>
      <c r="X14" s="4">
        <f t="shared" si="16"/>
        <v>4.5482577655496232</v>
      </c>
    </row>
    <row r="15" spans="1:24">
      <c r="A15" s="18">
        <v>0.6</v>
      </c>
      <c r="B15" s="18">
        <v>0.3</v>
      </c>
      <c r="C15" s="19">
        <f t="shared" si="0"/>
        <v>0.67082039324993692</v>
      </c>
      <c r="D15" s="20">
        <f t="shared" si="1"/>
        <v>63.434948822922024</v>
      </c>
      <c r="E15" s="18">
        <v>90</v>
      </c>
      <c r="F15" s="20">
        <f t="shared" si="2"/>
        <v>26.565051177077979</v>
      </c>
      <c r="G15" s="18">
        <v>250.5</v>
      </c>
      <c r="H15" s="18">
        <v>570.79999999999995</v>
      </c>
      <c r="I15" s="18">
        <v>85.5</v>
      </c>
      <c r="J15" s="43">
        <f t="shared" si="5"/>
        <v>605.0833658492287</v>
      </c>
      <c r="K15" s="13">
        <f t="shared" si="6"/>
        <v>0.22366071428571427</v>
      </c>
      <c r="L15" s="13">
        <f t="shared" si="7"/>
        <v>0.50964285714285706</v>
      </c>
      <c r="M15" s="13">
        <f t="shared" si="17"/>
        <v>85.5</v>
      </c>
      <c r="N15" s="13">
        <f t="shared" si="8"/>
        <v>0.54025300522252551</v>
      </c>
      <c r="O15" s="16">
        <f t="shared" si="4"/>
        <v>5.9746994777474471E-2</v>
      </c>
      <c r="P15" s="16">
        <f t="shared" si="9"/>
        <v>0.25446428571428575</v>
      </c>
      <c r="Q15" s="16">
        <f t="shared" si="10"/>
        <v>0.24026928478757159</v>
      </c>
      <c r="R15" s="16">
        <f t="shared" si="18"/>
        <v>-22.065051177077976</v>
      </c>
      <c r="S15" s="16">
        <f t="shared" si="11"/>
        <v>7.6339285714285721E-2</v>
      </c>
      <c r="T15" s="16">
        <f t="shared" si="12"/>
        <v>0.16117753610707986</v>
      </c>
      <c r="U15" s="6">
        <f t="shared" si="13"/>
        <v>8.4838250392794134E-2</v>
      </c>
      <c r="V15" s="35">
        <f t="shared" si="14"/>
        <v>0.44721359549995793</v>
      </c>
      <c r="W15" s="4">
        <f t="shared" si="15"/>
        <v>3.4699675324675328</v>
      </c>
      <c r="X15" s="4">
        <f t="shared" si="16"/>
        <v>7.3262516412309022</v>
      </c>
    </row>
    <row r="16" spans="1:24">
      <c r="A16" s="2">
        <v>0.6</v>
      </c>
      <c r="B16" s="2">
        <v>0.6</v>
      </c>
      <c r="C16" s="3">
        <f t="shared" si="0"/>
        <v>0.31058285412302489</v>
      </c>
      <c r="D16" s="4">
        <f t="shared" si="1"/>
        <v>75</v>
      </c>
      <c r="E16" s="2">
        <v>30</v>
      </c>
      <c r="F16" s="4">
        <f t="shared" si="2"/>
        <v>75</v>
      </c>
      <c r="G16" s="5">
        <v>542.05226441841523</v>
      </c>
      <c r="H16" s="5">
        <v>272.27407129640181</v>
      </c>
      <c r="I16" s="5">
        <v>92.2</v>
      </c>
      <c r="J16" s="43">
        <f t="shared" si="5"/>
        <v>615.86109902439557</v>
      </c>
      <c r="K16" s="3">
        <f>G16/1.12/1000</f>
        <v>0.48397523608787069</v>
      </c>
      <c r="L16" s="3">
        <f t="shared" ref="L16:L31" si="25">H16/1.12/1000</f>
        <v>0.24310184937178733</v>
      </c>
      <c r="M16" s="3">
        <f>I16</f>
        <v>92.2</v>
      </c>
      <c r="N16" s="13">
        <f t="shared" si="8"/>
        <v>0.54987598127178172</v>
      </c>
      <c r="O16" s="6">
        <f t="shared" si="4"/>
        <v>5.0124018728218256E-2</v>
      </c>
      <c r="P16" s="6">
        <f t="shared" si="9"/>
        <v>0.19337460652021549</v>
      </c>
      <c r="Q16" s="6">
        <f t="shared" si="10"/>
        <v>0.21727215091051894</v>
      </c>
      <c r="R16" s="6">
        <f t="shared" si="18"/>
        <v>-17.200000000000003</v>
      </c>
      <c r="S16" s="16">
        <f t="shared" si="11"/>
        <v>0.11602476391212929</v>
      </c>
      <c r="T16" s="16">
        <f t="shared" si="12"/>
        <v>6.7481004751237555E-2</v>
      </c>
      <c r="U16" s="6">
        <f t="shared" si="13"/>
        <v>4.8543759160891736E-2</v>
      </c>
      <c r="V16" s="35">
        <f t="shared" si="14"/>
        <v>1.9318516525781366</v>
      </c>
      <c r="W16" s="4">
        <f t="shared" si="15"/>
        <v>5.2738529050967857</v>
      </c>
      <c r="X16" s="4">
        <f t="shared" si="16"/>
        <v>3.067318397783525</v>
      </c>
    </row>
    <row r="17" spans="1:24">
      <c r="A17" s="7">
        <v>0.6</v>
      </c>
      <c r="B17" s="7">
        <v>0.6</v>
      </c>
      <c r="C17" s="8">
        <f t="shared" si="0"/>
        <v>0.31058285412302489</v>
      </c>
      <c r="D17" s="9">
        <f t="shared" si="1"/>
        <v>75</v>
      </c>
      <c r="E17" s="7">
        <v>30</v>
      </c>
      <c r="F17" s="9">
        <f t="shared" si="2"/>
        <v>75</v>
      </c>
      <c r="G17" s="10">
        <v>541.01528560003703</v>
      </c>
      <c r="H17" s="10">
        <v>275.56394598851972</v>
      </c>
      <c r="I17" s="10">
        <v>94</v>
      </c>
      <c r="J17" s="43">
        <f t="shared" si="5"/>
        <v>624.04504538302615</v>
      </c>
      <c r="K17" s="8">
        <f t="shared" ref="K17:K58" si="26">G17/1.12/1000</f>
        <v>0.48304936214289018</v>
      </c>
      <c r="L17" s="8">
        <f t="shared" si="25"/>
        <v>0.24603923748974973</v>
      </c>
      <c r="M17" s="8">
        <f t="shared" ref="M17:M58" si="27">I17</f>
        <v>94</v>
      </c>
      <c r="N17" s="13">
        <f t="shared" si="8"/>
        <v>0.55718307623484475</v>
      </c>
      <c r="O17" s="11">
        <f t="shared" si="4"/>
        <v>4.2816923765155224E-2</v>
      </c>
      <c r="P17" s="11">
        <f t="shared" si="9"/>
        <v>0.19491772976184968</v>
      </c>
      <c r="Q17" s="11">
        <f t="shared" si="10"/>
        <v>0.20781448742727052</v>
      </c>
      <c r="R17" s="11">
        <f t="shared" si="18"/>
        <v>-19</v>
      </c>
      <c r="S17" s="16">
        <f t="shared" si="11"/>
        <v>0.1169506378571098</v>
      </c>
      <c r="T17" s="16">
        <f t="shared" si="12"/>
        <v>6.4543616633275153E-2</v>
      </c>
      <c r="U17" s="6">
        <f t="shared" si="13"/>
        <v>5.2407021223834643E-2</v>
      </c>
      <c r="V17" s="35">
        <f t="shared" si="14"/>
        <v>1.9318516525781366</v>
      </c>
      <c r="W17" s="4">
        <f t="shared" si="15"/>
        <v>5.315938084414082</v>
      </c>
      <c r="X17" s="4">
        <f t="shared" si="16"/>
        <v>2.9338007560579613</v>
      </c>
    </row>
    <row r="18" spans="1:24">
      <c r="A18" s="2">
        <v>0.6</v>
      </c>
      <c r="B18" s="2">
        <v>0.6</v>
      </c>
      <c r="C18" s="3">
        <f t="shared" si="0"/>
        <v>0.6</v>
      </c>
      <c r="D18" s="4">
        <f t="shared" si="1"/>
        <v>60.000000000000007</v>
      </c>
      <c r="E18" s="2">
        <v>60</v>
      </c>
      <c r="F18" s="4">
        <f t="shared" si="2"/>
        <v>59.999999999999993</v>
      </c>
      <c r="G18" s="5">
        <v>477.27357598412522</v>
      </c>
      <c r="H18" s="5">
        <v>543.66549568787696</v>
      </c>
      <c r="I18" s="5">
        <v>73.2</v>
      </c>
      <c r="J18" s="43">
        <f t="shared" si="5"/>
        <v>611.03840228558977</v>
      </c>
      <c r="K18" s="3">
        <f t="shared" si="26"/>
        <v>0.42613712141439747</v>
      </c>
      <c r="L18" s="3">
        <f t="shared" si="25"/>
        <v>0.48541562114989012</v>
      </c>
      <c r="M18" s="3">
        <f t="shared" si="27"/>
        <v>73.2</v>
      </c>
      <c r="N18" s="13">
        <f t="shared" si="8"/>
        <v>0.54557000204070505</v>
      </c>
      <c r="O18" s="6">
        <f t="shared" si="4"/>
        <v>5.4429997959294929E-2</v>
      </c>
      <c r="P18" s="6">
        <f t="shared" si="9"/>
        <v>0.28977146430933753</v>
      </c>
      <c r="Q18" s="6">
        <f t="shared" si="10"/>
        <v>0.19097396475018311</v>
      </c>
      <c r="R18" s="6">
        <f t="shared" si="18"/>
        <v>-13.199999999999996</v>
      </c>
      <c r="S18" s="16">
        <f t="shared" si="11"/>
        <v>0.17386287858560251</v>
      </c>
      <c r="T18" s="16">
        <f t="shared" si="12"/>
        <v>0.11458437885010986</v>
      </c>
      <c r="U18" s="6">
        <f t="shared" si="13"/>
        <v>5.9278499735492651E-2</v>
      </c>
      <c r="V18" s="35">
        <f t="shared" si="14"/>
        <v>1</v>
      </c>
      <c r="W18" s="4">
        <f t="shared" si="15"/>
        <v>7.9028581175273871</v>
      </c>
      <c r="X18" s="4">
        <f t="shared" si="16"/>
        <v>5.2083808568231751</v>
      </c>
    </row>
    <row r="19" spans="1:24">
      <c r="A19" s="2">
        <v>0.6</v>
      </c>
      <c r="B19" s="2">
        <v>0.6</v>
      </c>
      <c r="C19" s="3">
        <f t="shared" si="0"/>
        <v>0.6</v>
      </c>
      <c r="D19" s="4">
        <f t="shared" si="1"/>
        <v>60.000000000000007</v>
      </c>
      <c r="E19" s="2">
        <v>60</v>
      </c>
      <c r="F19" s="4">
        <f t="shared" si="2"/>
        <v>59.999999999999993</v>
      </c>
      <c r="G19" s="5">
        <v>528.38753215131499</v>
      </c>
      <c r="H19" s="5">
        <v>546.25791449803512</v>
      </c>
      <c r="I19" s="5">
        <v>68.2</v>
      </c>
      <c r="J19" s="43">
        <f t="shared" si="5"/>
        <v>602.66983968558918</v>
      </c>
      <c r="K19" s="3">
        <f t="shared" si="26"/>
        <v>0.47177458227795976</v>
      </c>
      <c r="L19" s="3">
        <f t="shared" si="25"/>
        <v>0.48773028080181702</v>
      </c>
      <c r="M19" s="3">
        <f t="shared" si="27"/>
        <v>68.2</v>
      </c>
      <c r="N19" s="13">
        <f t="shared" si="8"/>
        <v>0.53809807114784747</v>
      </c>
      <c r="O19" s="6">
        <f t="shared" si="4"/>
        <v>6.190192885215251E-2</v>
      </c>
      <c r="P19" s="6">
        <f t="shared" si="9"/>
        <v>0.21370902953673371</v>
      </c>
      <c r="Q19" s="6">
        <f t="shared" si="10"/>
        <v>0.18711619866363827</v>
      </c>
      <c r="R19" s="6">
        <f t="shared" si="18"/>
        <v>-8.1999999999999957</v>
      </c>
      <c r="S19" s="16">
        <f t="shared" si="11"/>
        <v>0.12822541772204021</v>
      </c>
      <c r="T19" s="16">
        <f t="shared" si="12"/>
        <v>0.11226971919818296</v>
      </c>
      <c r="U19" s="6">
        <f t="shared" si="13"/>
        <v>1.5955698523857254E-2</v>
      </c>
      <c r="V19" s="35">
        <f t="shared" si="14"/>
        <v>1</v>
      </c>
      <c r="W19" s="4">
        <f t="shared" si="15"/>
        <v>5.8284280782745554</v>
      </c>
      <c r="X19" s="4">
        <f t="shared" si="16"/>
        <v>5.1031690544628612</v>
      </c>
    </row>
    <row r="20" spans="1:24">
      <c r="A20" s="7">
        <v>0.6</v>
      </c>
      <c r="B20" s="7">
        <v>0.6</v>
      </c>
      <c r="C20" s="8">
        <f t="shared" si="0"/>
        <v>0.6</v>
      </c>
      <c r="D20" s="9">
        <f t="shared" si="1"/>
        <v>60.000000000000007</v>
      </c>
      <c r="E20" s="7">
        <v>60</v>
      </c>
      <c r="F20" s="9">
        <f t="shared" si="2"/>
        <v>59.999999999999993</v>
      </c>
      <c r="G20" s="10">
        <v>536.63476032085555</v>
      </c>
      <c r="H20" s="10">
        <v>528.74691908362286</v>
      </c>
      <c r="I20" s="10">
        <v>70.7</v>
      </c>
      <c r="J20" s="43">
        <f t="shared" si="5"/>
        <v>616.43104599803212</v>
      </c>
      <c r="K20" s="8">
        <f t="shared" si="26"/>
        <v>0.47913817885790666</v>
      </c>
      <c r="L20" s="8">
        <f t="shared" si="25"/>
        <v>0.47209546346752035</v>
      </c>
      <c r="M20" s="8">
        <f t="shared" si="27"/>
        <v>70.7</v>
      </c>
      <c r="N20" s="13">
        <f t="shared" si="8"/>
        <v>0.55038486249824292</v>
      </c>
      <c r="O20" s="11">
        <f t="shared" si="4"/>
        <v>4.9615137501757056E-2</v>
      </c>
      <c r="P20" s="11">
        <f t="shared" si="9"/>
        <v>0.20143636857015554</v>
      </c>
      <c r="Q20" s="11">
        <f t="shared" si="10"/>
        <v>0.21317422755413273</v>
      </c>
      <c r="R20" s="11">
        <f t="shared" si="18"/>
        <v>-10.699999999999996</v>
      </c>
      <c r="S20" s="16">
        <f t="shared" si="11"/>
        <v>0.12086182114209332</v>
      </c>
      <c r="T20" s="16">
        <f t="shared" si="12"/>
        <v>0.12790453653247963</v>
      </c>
      <c r="U20" s="6">
        <f t="shared" si="13"/>
        <v>7.0427153903863116E-3</v>
      </c>
      <c r="V20" s="35">
        <f t="shared" si="14"/>
        <v>1</v>
      </c>
      <c r="W20" s="4">
        <f t="shared" si="15"/>
        <v>5.4937191428224237</v>
      </c>
      <c r="X20" s="4">
        <f t="shared" si="16"/>
        <v>5.8138425696581644</v>
      </c>
    </row>
    <row r="21" spans="1:24">
      <c r="A21" s="2">
        <v>0.6</v>
      </c>
      <c r="B21" s="2">
        <v>0.6</v>
      </c>
      <c r="C21" s="3">
        <f t="shared" si="0"/>
        <v>0.84852813742385702</v>
      </c>
      <c r="D21" s="4">
        <f t="shared" si="1"/>
        <v>45.000000000000014</v>
      </c>
      <c r="E21" s="2">
        <v>90</v>
      </c>
      <c r="F21" s="4">
        <f t="shared" si="2"/>
        <v>44.999999999999986</v>
      </c>
      <c r="G21" s="5">
        <v>466.36149508243392</v>
      </c>
      <c r="H21" s="5">
        <v>756.91047086879905</v>
      </c>
      <c r="I21" s="5">
        <v>53.5</v>
      </c>
      <c r="J21" s="43">
        <f t="shared" si="5"/>
        <v>608.66154452237436</v>
      </c>
      <c r="K21" s="3">
        <f t="shared" si="26"/>
        <v>0.41639419203788736</v>
      </c>
      <c r="L21" s="3">
        <f t="shared" si="25"/>
        <v>0.67581292041857055</v>
      </c>
      <c r="M21" s="3">
        <f t="shared" si="27"/>
        <v>53.5</v>
      </c>
      <c r="N21" s="13">
        <f t="shared" si="8"/>
        <v>0.54344780760926281</v>
      </c>
      <c r="O21" s="6">
        <f t="shared" si="4"/>
        <v>5.6552192390737166E-2</v>
      </c>
      <c r="P21" s="6">
        <f t="shared" si="9"/>
        <v>0.30600967993685441</v>
      </c>
      <c r="Q21" s="6">
        <f t="shared" si="10"/>
        <v>0.20354683526424028</v>
      </c>
      <c r="R21" s="6">
        <f t="shared" si="18"/>
        <v>-8.4999999999999858</v>
      </c>
      <c r="S21" s="16">
        <f t="shared" si="11"/>
        <v>0.18360580796211262</v>
      </c>
      <c r="T21" s="16">
        <f t="shared" si="12"/>
        <v>0.17271521700528647</v>
      </c>
      <c r="U21" s="6">
        <f t="shared" si="13"/>
        <v>1.0890590956826152E-2</v>
      </c>
      <c r="V21" s="35">
        <f t="shared" si="14"/>
        <v>0.70710678118654746</v>
      </c>
      <c r="W21" s="4">
        <f t="shared" si="15"/>
        <v>8.3457185437323922</v>
      </c>
      <c r="X21" s="4">
        <f t="shared" si="16"/>
        <v>7.8506916820584758</v>
      </c>
    </row>
    <row r="22" spans="1:24">
      <c r="A22" s="2">
        <v>0.6</v>
      </c>
      <c r="B22" s="2">
        <v>0.6</v>
      </c>
      <c r="C22" s="3">
        <f t="shared" si="0"/>
        <v>0.84852813742385702</v>
      </c>
      <c r="D22" s="4">
        <f t="shared" si="1"/>
        <v>45.000000000000014</v>
      </c>
      <c r="E22" s="2">
        <v>90</v>
      </c>
      <c r="F22" s="4">
        <f t="shared" si="2"/>
        <v>44.999999999999986</v>
      </c>
      <c r="G22" s="5">
        <v>519.32795538337314</v>
      </c>
      <c r="H22" s="5">
        <v>762.52802745466681</v>
      </c>
      <c r="I22" s="5">
        <v>54.1</v>
      </c>
      <c r="J22" s="43">
        <f t="shared" si="5"/>
        <v>621.88513688389526</v>
      </c>
      <c r="K22" s="3">
        <f t="shared" si="26"/>
        <v>0.46368567444944031</v>
      </c>
      <c r="L22" s="3">
        <f t="shared" si="25"/>
        <v>0.68082859594166678</v>
      </c>
      <c r="M22" s="3">
        <f t="shared" si="27"/>
        <v>54.1</v>
      </c>
      <c r="N22" s="13">
        <f t="shared" si="8"/>
        <v>0.55525458650347792</v>
      </c>
      <c r="O22" s="6">
        <f t="shared" si="4"/>
        <v>4.4745413496522057E-2</v>
      </c>
      <c r="P22" s="6">
        <f t="shared" si="9"/>
        <v>0.22719054258426613</v>
      </c>
      <c r="Q22" s="6">
        <f t="shared" si="10"/>
        <v>0.19763580497321909</v>
      </c>
      <c r="R22" s="6">
        <f t="shared" si="18"/>
        <v>-9.0999999999999872</v>
      </c>
      <c r="S22" s="16">
        <f t="shared" si="11"/>
        <v>0.13631432555055967</v>
      </c>
      <c r="T22" s="16">
        <f t="shared" si="12"/>
        <v>0.16769954148219024</v>
      </c>
      <c r="U22" s="6">
        <f t="shared" si="13"/>
        <v>3.1385215931630572E-2</v>
      </c>
      <c r="V22" s="35">
        <f t="shared" si="14"/>
        <v>0.70710678118654746</v>
      </c>
      <c r="W22" s="4">
        <f t="shared" si="15"/>
        <v>6.1961057068436212</v>
      </c>
      <c r="X22" s="4">
        <f t="shared" si="16"/>
        <v>7.6227064310086465</v>
      </c>
    </row>
    <row r="23" spans="1:24">
      <c r="A23" s="7">
        <v>0.6</v>
      </c>
      <c r="B23" s="7">
        <v>0.6</v>
      </c>
      <c r="C23" s="8">
        <f t="shared" si="0"/>
        <v>0.84852813742385702</v>
      </c>
      <c r="D23" s="9">
        <f t="shared" si="1"/>
        <v>45.000000000000014</v>
      </c>
      <c r="E23" s="7">
        <v>90</v>
      </c>
      <c r="F23" s="9">
        <f t="shared" si="2"/>
        <v>44.999999999999986</v>
      </c>
      <c r="G23" s="10">
        <v>491.82206607203221</v>
      </c>
      <c r="H23" s="10">
        <v>727.25964046123761</v>
      </c>
      <c r="I23" s="10">
        <v>56.7</v>
      </c>
      <c r="J23" s="43">
        <f t="shared" si="5"/>
        <v>614.85282626859441</v>
      </c>
      <c r="K23" s="8">
        <f t="shared" si="26"/>
        <v>0.43912684470717156</v>
      </c>
      <c r="L23" s="8">
        <f t="shared" si="25"/>
        <v>0.64933896469753349</v>
      </c>
      <c r="M23" s="8">
        <f t="shared" si="27"/>
        <v>56.7</v>
      </c>
      <c r="N23" s="13">
        <f t="shared" si="8"/>
        <v>0.54897573773981645</v>
      </c>
      <c r="O23" s="11">
        <f t="shared" si="4"/>
        <v>5.1024262260183528E-2</v>
      </c>
      <c r="P23" s="11">
        <f t="shared" si="9"/>
        <v>0.26812192548804736</v>
      </c>
      <c r="Q23" s="11">
        <f t="shared" si="10"/>
        <v>0.23474669128953646</v>
      </c>
      <c r="R23" s="11">
        <f t="shared" si="18"/>
        <v>-11.699999999999989</v>
      </c>
      <c r="S23" s="16">
        <f t="shared" si="11"/>
        <v>0.16087315529282842</v>
      </c>
      <c r="T23" s="16">
        <f t="shared" si="12"/>
        <v>0.19918917272632353</v>
      </c>
      <c r="U23" s="6">
        <f t="shared" si="13"/>
        <v>3.8316017433495109E-2</v>
      </c>
      <c r="V23" s="35">
        <f t="shared" si="14"/>
        <v>0.70710678118654746</v>
      </c>
      <c r="W23" s="4">
        <f t="shared" si="15"/>
        <v>7.3124161496740188</v>
      </c>
      <c r="X23" s="4">
        <f t="shared" si="16"/>
        <v>9.054053305741979</v>
      </c>
    </row>
    <row r="24" spans="1:24">
      <c r="A24" s="2">
        <v>0.6</v>
      </c>
      <c r="B24" s="2">
        <v>0.9</v>
      </c>
      <c r="C24" s="3">
        <f t="shared" si="0"/>
        <v>0.48445078585219159</v>
      </c>
      <c r="D24" s="4">
        <f t="shared" si="1"/>
        <v>38.261966199709804</v>
      </c>
      <c r="E24" s="2">
        <v>30</v>
      </c>
      <c r="F24" s="4">
        <f t="shared" si="2"/>
        <v>111.7380338002902</v>
      </c>
      <c r="G24" s="5">
        <v>692.40119324002228</v>
      </c>
      <c r="H24" s="5">
        <v>313.36145900178673</v>
      </c>
      <c r="I24" s="5">
        <v>62.7</v>
      </c>
      <c r="J24" s="43">
        <f t="shared" si="5"/>
        <v>615.29402193471276</v>
      </c>
      <c r="K24" s="3">
        <f t="shared" si="26"/>
        <v>0.61821535110716275</v>
      </c>
      <c r="L24" s="3">
        <f t="shared" si="25"/>
        <v>0.27978701696588099</v>
      </c>
      <c r="M24" s="3">
        <f>I24</f>
        <v>62.7</v>
      </c>
      <c r="N24" s="13">
        <f t="shared" si="8"/>
        <v>0.54936966244170771</v>
      </c>
      <c r="O24" s="6">
        <f t="shared" si="4"/>
        <v>5.0630337558292271E-2</v>
      </c>
      <c r="P24" s="6">
        <f t="shared" si="9"/>
        <v>0.31309405432537474</v>
      </c>
      <c r="Q24" s="6">
        <f t="shared" si="10"/>
        <v>0.42246555246326828</v>
      </c>
      <c r="R24" s="6">
        <f t="shared" si="18"/>
        <v>-24.438033800290199</v>
      </c>
      <c r="S24" s="16">
        <f t="shared" si="11"/>
        <v>0.28178464889283728</v>
      </c>
      <c r="T24" s="16">
        <f t="shared" si="12"/>
        <v>0.2046637688863106</v>
      </c>
      <c r="U24" s="6">
        <f t="shared" si="13"/>
        <v>7.7120880006526671E-2</v>
      </c>
      <c r="V24" s="35">
        <f t="shared" si="14"/>
        <v>1.8577738467630325</v>
      </c>
      <c r="W24" s="4">
        <f t="shared" si="15"/>
        <v>12.808393131492602</v>
      </c>
      <c r="X24" s="4">
        <f t="shared" si="16"/>
        <v>9.3028985857413904</v>
      </c>
    </row>
    <row r="25" spans="1:24">
      <c r="A25" s="2">
        <v>0.6</v>
      </c>
      <c r="B25" s="2">
        <v>0.9</v>
      </c>
      <c r="C25" s="3">
        <f t="shared" si="0"/>
        <v>0.48445078585219159</v>
      </c>
      <c r="D25" s="4">
        <f t="shared" si="1"/>
        <v>38.261966199709804</v>
      </c>
      <c r="E25" s="2">
        <v>30</v>
      </c>
      <c r="F25" s="4">
        <f t="shared" si="2"/>
        <v>111.7380338002902</v>
      </c>
      <c r="G25" s="5">
        <v>690.97886663843224</v>
      </c>
      <c r="H25" s="5">
        <v>311.02863214216319</v>
      </c>
      <c r="I25" s="5">
        <v>60.6</v>
      </c>
      <c r="J25" s="43">
        <f t="shared" si="5"/>
        <v>602.64933225422703</v>
      </c>
      <c r="K25" s="3">
        <f t="shared" si="26"/>
        <v>0.6169454166414573</v>
      </c>
      <c r="L25" s="3">
        <f t="shared" si="25"/>
        <v>0.27770413584121711</v>
      </c>
      <c r="M25" s="3">
        <f t="shared" si="27"/>
        <v>60.6</v>
      </c>
      <c r="N25" s="13">
        <f t="shared" si="8"/>
        <v>0.53807976094127408</v>
      </c>
      <c r="O25" s="6">
        <f t="shared" si="4"/>
        <v>6.1920239058725901E-2</v>
      </c>
      <c r="P25" s="6">
        <f t="shared" si="9"/>
        <v>0.314505092620603</v>
      </c>
      <c r="Q25" s="6">
        <f t="shared" si="10"/>
        <v>0.42676502144028711</v>
      </c>
      <c r="R25" s="6">
        <f t="shared" si="18"/>
        <v>-22.338033800290198</v>
      </c>
      <c r="S25" s="16">
        <f t="shared" si="11"/>
        <v>0.28305458335854272</v>
      </c>
      <c r="T25" s="16">
        <f t="shared" si="12"/>
        <v>0.20674665001097448</v>
      </c>
      <c r="U25" s="6">
        <f t="shared" si="13"/>
        <v>7.6307933347568246E-2</v>
      </c>
      <c r="V25" s="35">
        <f t="shared" si="14"/>
        <v>1.8577738467630325</v>
      </c>
      <c r="W25" s="4">
        <f t="shared" si="15"/>
        <v>12.866117425388307</v>
      </c>
      <c r="X25" s="4">
        <f t="shared" si="16"/>
        <v>9.3975750004988399</v>
      </c>
    </row>
    <row r="26" spans="1:24">
      <c r="A26" s="2">
        <v>0.6</v>
      </c>
      <c r="B26" s="2">
        <v>0.9</v>
      </c>
      <c r="C26" s="3">
        <f t="shared" si="0"/>
        <v>0.48445078585219159</v>
      </c>
      <c r="D26" s="4">
        <f t="shared" si="1"/>
        <v>38.261966199709804</v>
      </c>
      <c r="E26" s="2">
        <v>30</v>
      </c>
      <c r="F26" s="4">
        <f t="shared" si="2"/>
        <v>111.7380338002902</v>
      </c>
      <c r="G26" s="5">
        <v>731.06130979585419</v>
      </c>
      <c r="H26" s="5">
        <v>281.1507307958484</v>
      </c>
      <c r="I26" s="5">
        <v>58.6</v>
      </c>
      <c r="J26" s="43">
        <f t="shared" si="5"/>
        <v>631.91880607554333</v>
      </c>
      <c r="K26" s="3">
        <f t="shared" si="26"/>
        <v>0.65273331231772691</v>
      </c>
      <c r="L26" s="3">
        <f t="shared" si="25"/>
        <v>0.25102743821057893</v>
      </c>
      <c r="M26" s="3">
        <f t="shared" si="27"/>
        <v>58.6</v>
      </c>
      <c r="N26" s="13">
        <f t="shared" si="8"/>
        <v>0.56421321971030647</v>
      </c>
      <c r="O26" s="6">
        <f t="shared" si="4"/>
        <v>3.5786780289693509E-2</v>
      </c>
      <c r="P26" s="6">
        <f t="shared" si="9"/>
        <v>0.27474076409141457</v>
      </c>
      <c r="Q26" s="6">
        <f t="shared" si="10"/>
        <v>0.48183087830273708</v>
      </c>
      <c r="R26" s="6">
        <f t="shared" si="18"/>
        <v>-20.338033800290198</v>
      </c>
      <c r="S26" s="16">
        <f t="shared" si="11"/>
        <v>0.24726668768227311</v>
      </c>
      <c r="T26" s="16">
        <f t="shared" si="12"/>
        <v>0.23342334764161266</v>
      </c>
      <c r="U26" s="6">
        <f t="shared" si="13"/>
        <v>1.3843340040660457E-2</v>
      </c>
      <c r="V26" s="35">
        <f t="shared" si="14"/>
        <v>1.8577738467630325</v>
      </c>
      <c r="W26" s="4">
        <f t="shared" si="15"/>
        <v>11.239394894648777</v>
      </c>
      <c r="X26" s="4">
        <f t="shared" si="16"/>
        <v>10.610152165527849</v>
      </c>
    </row>
    <row r="27" spans="1:24">
      <c r="A27" s="2">
        <v>0.6</v>
      </c>
      <c r="B27" s="2">
        <v>0.9</v>
      </c>
      <c r="C27" s="3">
        <f t="shared" si="0"/>
        <v>0.48445078585219159</v>
      </c>
      <c r="D27" s="4">
        <f t="shared" si="1"/>
        <v>38.261966199709804</v>
      </c>
      <c r="E27" s="2">
        <v>30</v>
      </c>
      <c r="F27" s="4">
        <f t="shared" si="2"/>
        <v>111.7380338002902</v>
      </c>
      <c r="G27" s="5">
        <v>703.57470013122827</v>
      </c>
      <c r="H27" s="5">
        <v>317.14315839749668</v>
      </c>
      <c r="I27" s="5">
        <v>61.1</v>
      </c>
      <c r="J27" s="43">
        <f t="shared" si="5"/>
        <v>616.37956905367935</v>
      </c>
      <c r="K27" s="3">
        <f t="shared" si="26"/>
        <v>0.62819169654573948</v>
      </c>
      <c r="L27" s="3">
        <f t="shared" si="25"/>
        <v>0.28316353428347912</v>
      </c>
      <c r="M27" s="3">
        <f t="shared" si="27"/>
        <v>61.1</v>
      </c>
      <c r="N27" s="13">
        <f t="shared" si="8"/>
        <v>0.55033890094078508</v>
      </c>
      <c r="O27" s="6">
        <f t="shared" si="4"/>
        <v>4.9661099059214897E-2</v>
      </c>
      <c r="P27" s="6">
        <f t="shared" si="9"/>
        <v>0.30200922606028952</v>
      </c>
      <c r="Q27" s="6">
        <f t="shared" si="10"/>
        <v>0.41549576850129466</v>
      </c>
      <c r="R27" s="6">
        <f t="shared" si="18"/>
        <v>-22.838033800290198</v>
      </c>
      <c r="S27" s="16">
        <f t="shared" si="11"/>
        <v>0.27180830345426055</v>
      </c>
      <c r="T27" s="16">
        <f t="shared" si="12"/>
        <v>0.20128725156871247</v>
      </c>
      <c r="U27" s="6">
        <f t="shared" si="13"/>
        <v>7.0521051885548081E-2</v>
      </c>
      <c r="V27" s="35">
        <f t="shared" si="14"/>
        <v>1.8577738467630325</v>
      </c>
      <c r="W27" s="4">
        <f t="shared" si="15"/>
        <v>12.354922884284571</v>
      </c>
      <c r="X27" s="4">
        <f t="shared" si="16"/>
        <v>9.1494205258505659</v>
      </c>
    </row>
    <row r="28" spans="1:24">
      <c r="A28" s="2">
        <v>0.6</v>
      </c>
      <c r="B28" s="2">
        <v>0.9</v>
      </c>
      <c r="C28" s="3">
        <f t="shared" si="0"/>
        <v>0.48445078585219159</v>
      </c>
      <c r="D28" s="4">
        <f t="shared" si="1"/>
        <v>38.261966199709804</v>
      </c>
      <c r="E28" s="2">
        <v>30</v>
      </c>
      <c r="F28" s="4">
        <f t="shared" si="2"/>
        <v>111.7380338002902</v>
      </c>
      <c r="G28" s="5">
        <v>698.74786173193809</v>
      </c>
      <c r="H28" s="5">
        <v>314.22234096434568</v>
      </c>
      <c r="I28" s="5">
        <v>60.2</v>
      </c>
      <c r="J28" s="43">
        <f t="shared" si="5"/>
        <v>607.24860844595037</v>
      </c>
      <c r="K28" s="3">
        <f t="shared" si="26"/>
        <v>0.62388201940351606</v>
      </c>
      <c r="L28" s="3">
        <f t="shared" si="25"/>
        <v>0.28055566157530859</v>
      </c>
      <c r="M28" s="3">
        <f t="shared" si="27"/>
        <v>60.2</v>
      </c>
      <c r="N28" s="13">
        <f t="shared" si="8"/>
        <v>0.54218625754102712</v>
      </c>
      <c r="O28" s="6">
        <f t="shared" si="4"/>
        <v>5.7813742458972861E-2</v>
      </c>
      <c r="P28" s="6">
        <f t="shared" si="9"/>
        <v>0.30679775621831551</v>
      </c>
      <c r="Q28" s="6">
        <f t="shared" si="10"/>
        <v>0.4208789215156572</v>
      </c>
      <c r="R28" s="6">
        <f t="shared" si="18"/>
        <v>-21.938033800290199</v>
      </c>
      <c r="S28" s="16">
        <f t="shared" si="11"/>
        <v>0.27611798059648396</v>
      </c>
      <c r="T28" s="16">
        <f t="shared" si="12"/>
        <v>0.203895124276883</v>
      </c>
      <c r="U28" s="6">
        <f t="shared" si="13"/>
        <v>7.2222856319600959E-2</v>
      </c>
      <c r="V28" s="35">
        <f t="shared" si="14"/>
        <v>1.8577738467630325</v>
      </c>
      <c r="W28" s="4">
        <f t="shared" si="15"/>
        <v>12.55081729984018</v>
      </c>
      <c r="X28" s="4">
        <f t="shared" si="16"/>
        <v>9.2679601944037717</v>
      </c>
    </row>
    <row r="29" spans="1:24">
      <c r="A29" s="7">
        <v>0.6</v>
      </c>
      <c r="B29" s="7">
        <v>0.9</v>
      </c>
      <c r="C29" s="8">
        <f t="shared" si="0"/>
        <v>0.48445078585219159</v>
      </c>
      <c r="D29" s="9">
        <f t="shared" si="1"/>
        <v>38.261966199709804</v>
      </c>
      <c r="E29" s="7">
        <v>30</v>
      </c>
      <c r="F29" s="9">
        <f t="shared" si="2"/>
        <v>111.7380338002902</v>
      </c>
      <c r="G29" s="10">
        <v>731.86186593369985</v>
      </c>
      <c r="H29" s="10">
        <v>285.6344462476157</v>
      </c>
      <c r="I29" s="10">
        <v>59.1</v>
      </c>
      <c r="J29" s="43">
        <f t="shared" si="5"/>
        <v>634.43077473280232</v>
      </c>
      <c r="K29" s="8">
        <f t="shared" si="26"/>
        <v>0.65344809458366049</v>
      </c>
      <c r="L29" s="8">
        <f t="shared" si="25"/>
        <v>0.2550307555782283</v>
      </c>
      <c r="M29" s="8">
        <f t="shared" si="27"/>
        <v>59.1</v>
      </c>
      <c r="N29" s="13">
        <f t="shared" si="8"/>
        <v>0.56645604886857348</v>
      </c>
      <c r="O29" s="11">
        <f t="shared" si="4"/>
        <v>3.3543951131426497E-2</v>
      </c>
      <c r="P29" s="11">
        <f t="shared" si="9"/>
        <v>0.27394656157371061</v>
      </c>
      <c r="Q29" s="11">
        <f t="shared" si="10"/>
        <v>0.47356725796283572</v>
      </c>
      <c r="R29" s="11">
        <f t="shared" si="18"/>
        <v>-20.838033800290198</v>
      </c>
      <c r="S29" s="16">
        <f t="shared" si="11"/>
        <v>0.24655190541633953</v>
      </c>
      <c r="T29" s="16">
        <f t="shared" si="12"/>
        <v>0.22942003027396329</v>
      </c>
      <c r="U29" s="6">
        <f t="shared" si="13"/>
        <v>1.7131875142376241E-2</v>
      </c>
      <c r="V29" s="35">
        <f t="shared" si="14"/>
        <v>1.8577738467630325</v>
      </c>
      <c r="W29" s="4">
        <f t="shared" si="15"/>
        <v>11.206904791651796</v>
      </c>
      <c r="X29" s="4">
        <f t="shared" si="16"/>
        <v>10.428183194271059</v>
      </c>
    </row>
    <row r="30" spans="1:24">
      <c r="A30" s="12">
        <v>0.6</v>
      </c>
      <c r="B30" s="12">
        <v>0.9</v>
      </c>
      <c r="C30" s="13">
        <f t="shared" si="0"/>
        <v>0.79372539331937708</v>
      </c>
      <c r="D30" s="14">
        <f t="shared" si="1"/>
        <v>40.893394649130897</v>
      </c>
      <c r="E30" s="12">
        <v>60</v>
      </c>
      <c r="F30" s="14">
        <f t="shared" si="2"/>
        <v>79.106605350869103</v>
      </c>
      <c r="G30" s="15">
        <v>738.75230439739164</v>
      </c>
      <c r="H30" s="15">
        <v>670.41440583420058</v>
      </c>
      <c r="I30" s="15">
        <v>51.7</v>
      </c>
      <c r="J30" s="43">
        <f t="shared" si="5"/>
        <v>617.49031457095771</v>
      </c>
      <c r="K30" s="13">
        <f t="shared" si="26"/>
        <v>0.65960027178338532</v>
      </c>
      <c r="L30" s="13">
        <f t="shared" si="25"/>
        <v>0.59858429092339327</v>
      </c>
      <c r="M30" s="13">
        <f t="shared" si="27"/>
        <v>51.7</v>
      </c>
      <c r="N30" s="13">
        <f t="shared" si="8"/>
        <v>0.55133063800978355</v>
      </c>
      <c r="O30" s="16">
        <f t="shared" si="4"/>
        <v>4.8669361990216431E-2</v>
      </c>
      <c r="P30" s="16">
        <f t="shared" si="9"/>
        <v>0.26711080912957191</v>
      </c>
      <c r="Q30" s="16">
        <f t="shared" si="10"/>
        <v>0.24585467976512559</v>
      </c>
      <c r="R30" s="16">
        <f t="shared" si="18"/>
        <v>-10.806605350869106</v>
      </c>
      <c r="S30" s="16">
        <f t="shared" si="11"/>
        <v>0.24039972821661471</v>
      </c>
      <c r="T30" s="16">
        <f t="shared" si="12"/>
        <v>0.19514110239598381</v>
      </c>
      <c r="U30" s="6">
        <f t="shared" si="13"/>
        <v>4.5258625820630893E-2</v>
      </c>
      <c r="V30" s="35">
        <f t="shared" si="14"/>
        <v>1.1338934190276819</v>
      </c>
      <c r="W30" s="4">
        <f t="shared" si="15"/>
        <v>10.927260373482486</v>
      </c>
      <c r="X30" s="4">
        <f t="shared" si="16"/>
        <v>8.8700501089083552</v>
      </c>
    </row>
    <row r="31" spans="1:24">
      <c r="A31" s="2">
        <v>0.6</v>
      </c>
      <c r="B31" s="2">
        <v>0.9</v>
      </c>
      <c r="C31" s="3">
        <f t="shared" si="0"/>
        <v>0.79372539331937708</v>
      </c>
      <c r="D31" s="4">
        <f t="shared" si="1"/>
        <v>40.893394649130897</v>
      </c>
      <c r="E31" s="2">
        <v>60</v>
      </c>
      <c r="F31" s="4">
        <f t="shared" si="2"/>
        <v>79.106605350869103</v>
      </c>
      <c r="G31" s="5">
        <v>782.38662376813795</v>
      </c>
      <c r="H31" s="5">
        <v>659.5203642712097</v>
      </c>
      <c r="I31" s="5">
        <v>50.7</v>
      </c>
      <c r="J31" s="43">
        <f t="shared" si="5"/>
        <v>627.25353087286396</v>
      </c>
      <c r="K31" s="3">
        <f t="shared" si="26"/>
        <v>0.69855948550726599</v>
      </c>
      <c r="L31" s="3">
        <f t="shared" si="25"/>
        <v>0.5888574680992944</v>
      </c>
      <c r="M31" s="3">
        <f t="shared" si="27"/>
        <v>50.7</v>
      </c>
      <c r="N31" s="13">
        <f t="shared" si="8"/>
        <v>0.56004779542219985</v>
      </c>
      <c r="O31" s="6">
        <f t="shared" si="4"/>
        <v>3.9952204577800132E-2</v>
      </c>
      <c r="P31" s="6">
        <f t="shared" si="9"/>
        <v>0.22382279388081558</v>
      </c>
      <c r="Q31" s="6">
        <f t="shared" si="10"/>
        <v>0.25810932464100778</v>
      </c>
      <c r="R31" s="6">
        <f t="shared" si="18"/>
        <v>-9.8066053508691056</v>
      </c>
      <c r="S31" s="6">
        <f t="shared" si="11"/>
        <v>0.20144051449273404</v>
      </c>
      <c r="T31" s="6">
        <f t="shared" si="12"/>
        <v>0.20486792522008268</v>
      </c>
      <c r="U31" s="6">
        <f t="shared" si="13"/>
        <v>3.4274107273486454E-3</v>
      </c>
      <c r="V31" s="35">
        <f t="shared" si="14"/>
        <v>1.1338934190276819</v>
      </c>
      <c r="W31" s="4">
        <f t="shared" si="15"/>
        <v>9.1563870223970003</v>
      </c>
      <c r="X31" s="4">
        <f t="shared" si="16"/>
        <v>9.3121784190946659</v>
      </c>
    </row>
    <row r="32" spans="1:24">
      <c r="A32" s="2">
        <v>0.6</v>
      </c>
      <c r="B32" s="2">
        <v>0.9</v>
      </c>
      <c r="C32" s="3">
        <f t="shared" si="0"/>
        <v>0.79372539331937708</v>
      </c>
      <c r="D32" s="4">
        <f t="shared" si="1"/>
        <v>40.893394649130897</v>
      </c>
      <c r="E32" s="2">
        <v>60</v>
      </c>
      <c r="F32" s="4">
        <f t="shared" si="2"/>
        <v>79.106605350869103</v>
      </c>
      <c r="G32" s="5">
        <v>775.59846462990981</v>
      </c>
      <c r="H32" s="5">
        <v>672.54710569713325</v>
      </c>
      <c r="I32" s="5">
        <v>49.9</v>
      </c>
      <c r="J32" s="43">
        <f t="shared" si="5"/>
        <v>617.97141947474483</v>
      </c>
      <c r="K32" s="3">
        <f t="shared" si="26"/>
        <v>0.69249862913384796</v>
      </c>
      <c r="L32" s="3">
        <f t="shared" ref="L32:L58" si="28">H32/1.12/1000</f>
        <v>0.60048848722958315</v>
      </c>
      <c r="M32" s="3">
        <f t="shared" si="27"/>
        <v>49.9</v>
      </c>
      <c r="N32" s="13">
        <f t="shared" si="8"/>
        <v>0.55176019595959358</v>
      </c>
      <c r="O32" s="6">
        <f t="shared" si="4"/>
        <v>4.8239804040406398E-2</v>
      </c>
      <c r="P32" s="6">
        <f t="shared" si="9"/>
        <v>0.23055707874016895</v>
      </c>
      <c r="Q32" s="6">
        <f t="shared" si="10"/>
        <v>0.24345561792054168</v>
      </c>
      <c r="R32" s="6">
        <f t="shared" si="18"/>
        <v>-9.0066053508691013</v>
      </c>
      <c r="S32" s="6">
        <f t="shared" si="11"/>
        <v>0.20750137086615206</v>
      </c>
      <c r="T32" s="6">
        <f t="shared" si="12"/>
        <v>0.19323690608979394</v>
      </c>
      <c r="U32" s="6">
        <f t="shared" si="13"/>
        <v>1.4264464776358121E-2</v>
      </c>
      <c r="V32" s="35">
        <f t="shared" si="14"/>
        <v>1.1338934190276819</v>
      </c>
      <c r="W32" s="4">
        <f t="shared" si="15"/>
        <v>9.4318804939160028</v>
      </c>
      <c r="X32" s="4">
        <f t="shared" si="16"/>
        <v>8.7834957313542699</v>
      </c>
    </row>
    <row r="33" spans="1:24">
      <c r="A33" s="7">
        <v>0.6</v>
      </c>
      <c r="B33" s="7">
        <v>0.9</v>
      </c>
      <c r="C33" s="8">
        <f t="shared" si="0"/>
        <v>0.79372539331937708</v>
      </c>
      <c r="D33" s="9">
        <f t="shared" si="1"/>
        <v>40.893394649130897</v>
      </c>
      <c r="E33" s="7">
        <v>60</v>
      </c>
      <c r="F33" s="9">
        <f t="shared" si="2"/>
        <v>79.106605350869103</v>
      </c>
      <c r="G33" s="10">
        <v>781.18268497829001</v>
      </c>
      <c r="H33" s="10">
        <v>605.97814007177737</v>
      </c>
      <c r="I33" s="10">
        <v>55</v>
      </c>
      <c r="J33" s="43">
        <f t="shared" si="5"/>
        <v>659.1032472599984</v>
      </c>
      <c r="K33" s="8">
        <f t="shared" si="26"/>
        <v>0.69748454015918737</v>
      </c>
      <c r="L33" s="8">
        <f t="shared" si="28"/>
        <v>0.54105191077837267</v>
      </c>
      <c r="M33" s="8">
        <f t="shared" si="27"/>
        <v>55</v>
      </c>
      <c r="N33" s="13">
        <f t="shared" si="8"/>
        <v>0.58848504219642717</v>
      </c>
      <c r="O33" s="11">
        <f t="shared" si="4"/>
        <v>1.1514957803572812E-2</v>
      </c>
      <c r="P33" s="11">
        <f t="shared" si="9"/>
        <v>0.22501717760090295</v>
      </c>
      <c r="Q33" s="11">
        <f t="shared" si="10"/>
        <v>0.31833866557338975</v>
      </c>
      <c r="R33" s="11">
        <f t="shared" si="18"/>
        <v>-14.106605350869103</v>
      </c>
      <c r="S33" s="16">
        <f t="shared" si="11"/>
        <v>0.20251545984081265</v>
      </c>
      <c r="T33" s="16">
        <f t="shared" si="12"/>
        <v>0.25267348254100441</v>
      </c>
      <c r="U33" s="6">
        <f t="shared" si="13"/>
        <v>5.0158022700191762E-2</v>
      </c>
      <c r="V33" s="35">
        <f t="shared" si="14"/>
        <v>1.1338934190276819</v>
      </c>
      <c r="W33" s="4">
        <f t="shared" si="15"/>
        <v>9.2052481745823922</v>
      </c>
      <c r="X33" s="4">
        <f t="shared" si="16"/>
        <v>11.485158297318382</v>
      </c>
    </row>
    <row r="34" spans="1:24">
      <c r="A34" s="12">
        <v>0.6</v>
      </c>
      <c r="B34" s="12">
        <v>0.9</v>
      </c>
      <c r="C34" s="13">
        <f t="shared" ref="C34:C58" si="29">SQRT(POWER(A34, 2) + POWER(B34, 2) - 2 * A34 * B34 * COS(RADIANS(E34)))</f>
        <v>1.0816653826391966</v>
      </c>
      <c r="D34" s="14">
        <f t="shared" ref="D34:D58" si="30">180-E34-F34</f>
        <v>33.690067525979785</v>
      </c>
      <c r="E34" s="12">
        <v>90</v>
      </c>
      <c r="F34" s="14">
        <f t="shared" ref="F34:F58" si="31">DEGREES(ACOS((POWER(C34, 2) + POWER(A34, 2) - POWER(B34, 2)) / (2 * C34 *A34)))</f>
        <v>56.309932474020215</v>
      </c>
      <c r="G34" s="15">
        <v>711.11094270963451</v>
      </c>
      <c r="H34" s="15">
        <v>955.59793542407431</v>
      </c>
      <c r="I34" s="15">
        <v>40.700000000000003</v>
      </c>
      <c r="J34" s="43">
        <f t="shared" si="5"/>
        <v>623.28710316980323</v>
      </c>
      <c r="K34" s="13">
        <f t="shared" si="26"/>
        <v>0.63492048456217365</v>
      </c>
      <c r="L34" s="13">
        <f t="shared" si="28"/>
        <v>0.85321244234292337</v>
      </c>
      <c r="M34" s="13">
        <f t="shared" si="27"/>
        <v>40.700000000000003</v>
      </c>
      <c r="N34" s="13">
        <f t="shared" si="8"/>
        <v>0.55650634211589567</v>
      </c>
      <c r="O34" s="16">
        <f t="shared" si="4"/>
        <v>4.3493657884104309E-2</v>
      </c>
      <c r="P34" s="16">
        <f t="shared" ref="P34:P58" si="32">(B34-K34)/B34</f>
        <v>0.29453279493091816</v>
      </c>
      <c r="Q34" s="16">
        <f t="shared" ref="Q34:Q58" si="33">(C34-L34)/C34</f>
        <v>0.21120481801762225</v>
      </c>
      <c r="R34" s="16">
        <f t="shared" ref="R34:R58" si="34">D34-M34</f>
        <v>-7.0099324740202178</v>
      </c>
      <c r="S34" s="16">
        <f t="shared" si="11"/>
        <v>0.26507951543782637</v>
      </c>
      <c r="T34" s="16">
        <f t="shared" si="12"/>
        <v>0.22845294029627328</v>
      </c>
      <c r="U34" s="6">
        <f t="shared" si="13"/>
        <v>3.6626575141553097E-2</v>
      </c>
      <c r="V34" s="35">
        <f t="shared" si="14"/>
        <v>0.83205029433784383</v>
      </c>
      <c r="W34" s="4">
        <f t="shared" si="15"/>
        <v>12.049068883537563</v>
      </c>
      <c r="X34" s="4">
        <f t="shared" si="16"/>
        <v>10.384224558921513</v>
      </c>
    </row>
    <row r="35" spans="1:24">
      <c r="A35" s="7">
        <v>0.6</v>
      </c>
      <c r="B35" s="7">
        <v>0.9</v>
      </c>
      <c r="C35" s="8">
        <f t="shared" si="29"/>
        <v>1.0816653826391966</v>
      </c>
      <c r="D35" s="9">
        <f t="shared" si="30"/>
        <v>33.690067525979785</v>
      </c>
      <c r="E35" s="7">
        <v>90</v>
      </c>
      <c r="F35" s="9">
        <f t="shared" si="31"/>
        <v>56.309932474020215</v>
      </c>
      <c r="G35" s="10">
        <v>743.768810062287</v>
      </c>
      <c r="H35" s="10">
        <v>922.68407285278556</v>
      </c>
      <c r="I35" s="10">
        <v>43.9</v>
      </c>
      <c r="J35" s="43">
        <f t="shared" si="5"/>
        <v>644.64090081976747</v>
      </c>
      <c r="K35" s="8">
        <f t="shared" si="26"/>
        <v>0.66407929469847049</v>
      </c>
      <c r="L35" s="8">
        <f t="shared" si="28"/>
        <v>0.82382506504712993</v>
      </c>
      <c r="M35" s="8">
        <f t="shared" si="27"/>
        <v>43.9</v>
      </c>
      <c r="N35" s="13">
        <f t="shared" si="8"/>
        <v>0.57557223287479231</v>
      </c>
      <c r="O35" s="11">
        <f t="shared" si="4"/>
        <v>2.4427767125207667E-2</v>
      </c>
      <c r="P35" s="11">
        <f t="shared" si="32"/>
        <v>0.26213411700169947</v>
      </c>
      <c r="Q35" s="11">
        <f t="shared" si="33"/>
        <v>0.23837345793849138</v>
      </c>
      <c r="R35" s="11">
        <f t="shared" si="34"/>
        <v>-10.209932474020214</v>
      </c>
      <c r="S35" s="16">
        <f t="shared" si="11"/>
        <v>0.23592070530152953</v>
      </c>
      <c r="T35" s="16">
        <f t="shared" si="12"/>
        <v>0.25784031759206671</v>
      </c>
      <c r="U35" s="6">
        <f t="shared" si="13"/>
        <v>2.1919612290537183E-2</v>
      </c>
      <c r="V35" s="35">
        <f t="shared" si="14"/>
        <v>0.83205029433784383</v>
      </c>
      <c r="W35" s="4">
        <f t="shared" si="15"/>
        <v>10.723668422796797</v>
      </c>
      <c r="X35" s="4">
        <f t="shared" si="16"/>
        <v>11.720014436003032</v>
      </c>
    </row>
    <row r="36" spans="1:24">
      <c r="A36" s="22">
        <v>0.9</v>
      </c>
      <c r="B36" s="22">
        <v>0.3</v>
      </c>
      <c r="C36" s="19">
        <f t="shared" si="29"/>
        <v>0.65753044184767828</v>
      </c>
      <c r="D36" s="20">
        <f t="shared" si="30"/>
        <v>136.81321456798648</v>
      </c>
      <c r="E36" s="22">
        <v>30</v>
      </c>
      <c r="F36" s="20">
        <f t="shared" si="31"/>
        <v>13.186785432013524</v>
      </c>
      <c r="G36" s="23">
        <v>306</v>
      </c>
      <c r="H36" s="23">
        <v>651.20000000000005</v>
      </c>
      <c r="I36" s="23">
        <v>143.5</v>
      </c>
      <c r="J36" s="43">
        <f>SQRT(POWER(H36, 2) + POWER(G36, 2) - 2 * G36 * H36 * COS(RADIANS(I36)))</f>
        <v>915.45729099284927</v>
      </c>
      <c r="K36" s="19">
        <f t="shared" si="26"/>
        <v>0.27321428571428569</v>
      </c>
      <c r="L36" s="19">
        <f t="shared" si="28"/>
        <v>0.58142857142857141</v>
      </c>
      <c r="M36" s="19">
        <f t="shared" si="27"/>
        <v>143.5</v>
      </c>
      <c r="N36" s="13">
        <f>J36/1.12/1000</f>
        <v>0.81737258124361534</v>
      </c>
      <c r="O36" s="24"/>
      <c r="P36" s="24">
        <f t="shared" si="32"/>
        <v>8.9285714285714343E-2</v>
      </c>
      <c r="Q36" s="24">
        <f t="shared" si="33"/>
        <v>0.11573893096912527</v>
      </c>
      <c r="R36" s="24">
        <f t="shared" si="34"/>
        <v>-6.6867854320135223</v>
      </c>
      <c r="S36" s="16">
        <f t="shared" si="11"/>
        <v>2.6785714285714302E-2</v>
      </c>
      <c r="T36" s="16">
        <f t="shared" si="12"/>
        <v>7.6101870419106876E-2</v>
      </c>
      <c r="U36" s="6">
        <f t="shared" si="13"/>
        <v>4.9316156133392575E-2</v>
      </c>
      <c r="V36" s="35">
        <f t="shared" si="14"/>
        <v>0.45625264004050048</v>
      </c>
      <c r="W36" s="4">
        <f t="shared" si="15"/>
        <v>1.2175324675324684</v>
      </c>
      <c r="X36" s="4">
        <f t="shared" si="16"/>
        <v>3.4591759281412213</v>
      </c>
    </row>
    <row r="37" spans="1:24">
      <c r="A37" s="22">
        <v>0.9</v>
      </c>
      <c r="B37" s="22">
        <v>0.3</v>
      </c>
      <c r="C37" s="19">
        <f t="shared" si="29"/>
        <v>0.79372539331937708</v>
      </c>
      <c r="D37" s="20">
        <f t="shared" si="30"/>
        <v>100.89339464913091</v>
      </c>
      <c r="E37" s="22">
        <v>60</v>
      </c>
      <c r="F37" s="20">
        <f t="shared" si="31"/>
        <v>19.106605350869092</v>
      </c>
      <c r="G37" s="23">
        <v>315.3</v>
      </c>
      <c r="H37" s="23">
        <v>768.2</v>
      </c>
      <c r="I37" s="23">
        <v>112.1</v>
      </c>
      <c r="J37" s="43">
        <f t="shared" si="5"/>
        <v>933.7014999569576</v>
      </c>
      <c r="K37" s="19">
        <f t="shared" si="26"/>
        <v>0.2815178571428571</v>
      </c>
      <c r="L37" s="19">
        <f t="shared" si="28"/>
        <v>0.68589285714285708</v>
      </c>
      <c r="M37" s="19">
        <f t="shared" si="27"/>
        <v>112.1</v>
      </c>
      <c r="N37" s="13">
        <f t="shared" si="8"/>
        <v>0.83366205353299783</v>
      </c>
      <c r="O37" s="24"/>
      <c r="P37" s="24">
        <f t="shared" si="32"/>
        <v>6.1607142857142971E-2</v>
      </c>
      <c r="Q37" s="24">
        <f t="shared" si="33"/>
        <v>0.13585622569735606</v>
      </c>
      <c r="R37" s="24">
        <f t="shared" si="34"/>
        <v>-11.206605350869083</v>
      </c>
      <c r="S37" s="16">
        <f t="shared" si="11"/>
        <v>1.8482142857142891E-2</v>
      </c>
      <c r="T37" s="16">
        <f t="shared" si="12"/>
        <v>0.10783253617652</v>
      </c>
      <c r="U37" s="6">
        <f t="shared" si="13"/>
        <v>8.9350393319377108E-2</v>
      </c>
      <c r="V37" s="35">
        <f t="shared" si="14"/>
        <v>0.37796447300922725</v>
      </c>
      <c r="W37" s="4">
        <f t="shared" si="15"/>
        <v>0.84009740259740406</v>
      </c>
      <c r="X37" s="4">
        <f t="shared" si="16"/>
        <v>4.9014789171145452</v>
      </c>
    </row>
    <row r="38" spans="1:24">
      <c r="A38" s="22">
        <v>0.9</v>
      </c>
      <c r="B38" s="22">
        <v>0.3</v>
      </c>
      <c r="C38" s="19">
        <f t="shared" si="29"/>
        <v>0.94868329805051377</v>
      </c>
      <c r="D38" s="20">
        <f t="shared" si="30"/>
        <v>71.565051177077976</v>
      </c>
      <c r="E38" s="22">
        <v>90</v>
      </c>
      <c r="F38" s="20">
        <f t="shared" si="31"/>
        <v>18.434948822922021</v>
      </c>
      <c r="G38" s="23">
        <v>275.5</v>
      </c>
      <c r="H38" s="23">
        <v>904.5</v>
      </c>
      <c r="I38" s="23">
        <v>89.4</v>
      </c>
      <c r="J38" s="43">
        <f t="shared" si="5"/>
        <v>942.76273657163472</v>
      </c>
      <c r="K38" s="19">
        <f t="shared" si="26"/>
        <v>0.24598214285714284</v>
      </c>
      <c r="L38" s="19">
        <f t="shared" si="28"/>
        <v>0.80758928571428568</v>
      </c>
      <c r="M38" s="19">
        <f t="shared" si="27"/>
        <v>89.4</v>
      </c>
      <c r="N38" s="13">
        <f t="shared" si="8"/>
        <v>0.84175244336753086</v>
      </c>
      <c r="O38" s="24"/>
      <c r="P38" s="24">
        <f t="shared" si="32"/>
        <v>0.18005952380952384</v>
      </c>
      <c r="Q38" s="24">
        <f t="shared" si="33"/>
        <v>0.14872614773145862</v>
      </c>
      <c r="R38" s="24">
        <f t="shared" si="34"/>
        <v>-17.83494882292203</v>
      </c>
      <c r="S38" s="16">
        <f t="shared" si="11"/>
        <v>5.4017857142857145E-2</v>
      </c>
      <c r="T38" s="16">
        <f t="shared" si="12"/>
        <v>0.14109401233622809</v>
      </c>
      <c r="U38" s="6">
        <f t="shared" si="13"/>
        <v>8.7076155193370947E-2</v>
      </c>
      <c r="V38" s="35">
        <f t="shared" si="14"/>
        <v>0.31622776601683794</v>
      </c>
      <c r="W38" s="4">
        <f t="shared" si="15"/>
        <v>2.4553571428571428</v>
      </c>
      <c r="X38" s="4">
        <f t="shared" si="16"/>
        <v>6.4133641971012771</v>
      </c>
    </row>
    <row r="39" spans="1:24">
      <c r="A39" s="12">
        <v>0.9</v>
      </c>
      <c r="B39" s="12">
        <v>0.6</v>
      </c>
      <c r="C39" s="13">
        <f t="shared" si="29"/>
        <v>0.48445078585219159</v>
      </c>
      <c r="D39" s="14">
        <f t="shared" si="30"/>
        <v>111.73803380029017</v>
      </c>
      <c r="E39" s="12">
        <v>30</v>
      </c>
      <c r="F39" s="14">
        <f t="shared" si="31"/>
        <v>38.261966199709839</v>
      </c>
      <c r="G39" s="15">
        <v>611.48514141285239</v>
      </c>
      <c r="H39" s="15">
        <v>490.35440767405089</v>
      </c>
      <c r="I39" s="15">
        <v>115.6</v>
      </c>
      <c r="J39" s="43">
        <f>SQRT(POWER(H39, 2) + POWER(G39, 2) - 2 * G39 * H39 * COS(RADIANS(I39)))</f>
        <v>934.60073675752778</v>
      </c>
      <c r="K39" s="13">
        <f t="shared" si="26"/>
        <v>0.54596887626147528</v>
      </c>
      <c r="L39" s="13">
        <f t="shared" si="28"/>
        <v>0.43781643542325971</v>
      </c>
      <c r="M39" s="13">
        <f>I39</f>
        <v>115.6</v>
      </c>
      <c r="N39" s="13">
        <f>J39/1.12/1000</f>
        <v>0.83446494353350698</v>
      </c>
      <c r="O39" s="16">
        <f t="shared" ref="O39:O58" si="35">A39-N39</f>
        <v>6.5535056466493047E-2</v>
      </c>
      <c r="P39" s="16">
        <f t="shared" si="32"/>
        <v>9.0051872897541171E-2</v>
      </c>
      <c r="Q39" s="16">
        <f t="shared" si="33"/>
        <v>9.6262307319613383E-2</v>
      </c>
      <c r="R39" s="16">
        <f t="shared" si="34"/>
        <v>-3.8619661997098262</v>
      </c>
      <c r="S39" s="16">
        <f t="shared" si="11"/>
        <v>5.40311237385247E-2</v>
      </c>
      <c r="T39" s="16">
        <f t="shared" si="12"/>
        <v>4.6634350428931881E-2</v>
      </c>
      <c r="U39" s="6">
        <f t="shared" si="13"/>
        <v>7.396773309592819E-3</v>
      </c>
      <c r="V39" s="35">
        <f t="shared" si="14"/>
        <v>1.2385158978420217</v>
      </c>
      <c r="W39" s="4">
        <f t="shared" si="15"/>
        <v>2.4559601699329408</v>
      </c>
      <c r="X39" s="4">
        <f t="shared" si="16"/>
        <v>2.1197432013150856</v>
      </c>
    </row>
    <row r="40" spans="1:24">
      <c r="A40" s="2">
        <v>0.9</v>
      </c>
      <c r="B40" s="2">
        <v>0.6</v>
      </c>
      <c r="C40" s="3">
        <f t="shared" si="29"/>
        <v>0.48445078585219159</v>
      </c>
      <c r="D40" s="4">
        <f t="shared" si="30"/>
        <v>111.73803380029017</v>
      </c>
      <c r="E40" s="2">
        <v>30</v>
      </c>
      <c r="F40" s="4">
        <f t="shared" si="31"/>
        <v>38.261966199709839</v>
      </c>
      <c r="G40" s="5">
        <v>611.46717922786559</v>
      </c>
      <c r="H40" s="5">
        <v>500.97407352525892</v>
      </c>
      <c r="I40" s="5">
        <v>114.2</v>
      </c>
      <c r="J40" s="43">
        <f t="shared" si="5"/>
        <v>935.95401949522375</v>
      </c>
      <c r="K40" s="3">
        <f t="shared" si="26"/>
        <v>0.5459528385963085</v>
      </c>
      <c r="L40" s="3">
        <f t="shared" si="28"/>
        <v>0.44729827993326682</v>
      </c>
      <c r="M40" s="3">
        <f t="shared" si="27"/>
        <v>114.2</v>
      </c>
      <c r="N40" s="13">
        <f t="shared" si="8"/>
        <v>0.83567323169216401</v>
      </c>
      <c r="O40" s="6">
        <f t="shared" si="35"/>
        <v>6.4326768307836013E-2</v>
      </c>
      <c r="P40" s="6">
        <f t="shared" si="32"/>
        <v>9.0078602339485808E-2</v>
      </c>
      <c r="Q40" s="6">
        <f t="shared" si="33"/>
        <v>7.6689948708763556E-2</v>
      </c>
      <c r="R40" s="6">
        <f t="shared" si="34"/>
        <v>-2.4619661997098348</v>
      </c>
      <c r="S40" s="16">
        <f t="shared" si="11"/>
        <v>5.4047161403691479E-2</v>
      </c>
      <c r="T40" s="16">
        <f t="shared" si="12"/>
        <v>3.7152505918924772E-2</v>
      </c>
      <c r="U40" s="6">
        <f t="shared" si="13"/>
        <v>1.6894655484766707E-2</v>
      </c>
      <c r="V40" s="35">
        <f t="shared" si="14"/>
        <v>1.2385158978420217</v>
      </c>
      <c r="W40" s="4">
        <f t="shared" si="15"/>
        <v>2.4566891547132488</v>
      </c>
      <c r="X40" s="4">
        <f t="shared" si="16"/>
        <v>1.6887502690420353</v>
      </c>
    </row>
    <row r="41" spans="1:24">
      <c r="A41" s="7">
        <v>0.9</v>
      </c>
      <c r="B41" s="7">
        <v>0.6</v>
      </c>
      <c r="C41" s="8">
        <f t="shared" si="29"/>
        <v>0.48445078585219159</v>
      </c>
      <c r="D41" s="9">
        <f t="shared" si="30"/>
        <v>111.73803380029017</v>
      </c>
      <c r="E41" s="7">
        <v>30</v>
      </c>
      <c r="F41" s="9">
        <f t="shared" si="31"/>
        <v>38.261966199709839</v>
      </c>
      <c r="G41" s="10">
        <v>604.22091207465178</v>
      </c>
      <c r="H41" s="10">
        <v>501.67684391017218</v>
      </c>
      <c r="I41" s="10">
        <v>115.1</v>
      </c>
      <c r="J41" s="43">
        <f t="shared" si="5"/>
        <v>934.84346961706035</v>
      </c>
      <c r="K41" s="8">
        <f t="shared" si="26"/>
        <v>0.53948295720951045</v>
      </c>
      <c r="L41" s="8">
        <f t="shared" si="28"/>
        <v>0.4479257534912251</v>
      </c>
      <c r="M41" s="8">
        <f t="shared" si="27"/>
        <v>115.1</v>
      </c>
      <c r="N41" s="13">
        <f t="shared" si="8"/>
        <v>0.83468166930094667</v>
      </c>
      <c r="O41" s="11">
        <f t="shared" si="35"/>
        <v>6.5318330699053351E-2</v>
      </c>
      <c r="P41" s="11">
        <f t="shared" si="32"/>
        <v>0.10086173798414921</v>
      </c>
      <c r="Q41" s="11">
        <f t="shared" si="33"/>
        <v>7.5394722080418849E-2</v>
      </c>
      <c r="R41" s="11">
        <f t="shared" si="34"/>
        <v>-3.3619661997098262</v>
      </c>
      <c r="S41" s="16">
        <f t="shared" si="11"/>
        <v>6.0517042790489528E-2</v>
      </c>
      <c r="T41" s="16">
        <f t="shared" si="12"/>
        <v>3.6525032360966492E-2</v>
      </c>
      <c r="U41" s="6">
        <f t="shared" si="13"/>
        <v>2.3992010429523036E-2</v>
      </c>
      <c r="V41" s="35">
        <f t="shared" si="14"/>
        <v>1.2385158978420217</v>
      </c>
      <c r="W41" s="4">
        <f t="shared" si="15"/>
        <v>2.7507746722949786</v>
      </c>
      <c r="X41" s="4">
        <f t="shared" si="16"/>
        <v>1.6602287436802952</v>
      </c>
    </row>
    <row r="42" spans="1:24">
      <c r="A42" s="12">
        <v>0.9</v>
      </c>
      <c r="B42" s="12">
        <v>0.6</v>
      </c>
      <c r="C42" s="13">
        <f t="shared" si="29"/>
        <v>0.79372539331937708</v>
      </c>
      <c r="D42" s="14">
        <f t="shared" si="30"/>
        <v>79.106605350869103</v>
      </c>
      <c r="E42" s="12">
        <v>60</v>
      </c>
      <c r="F42" s="14">
        <f t="shared" si="31"/>
        <v>40.893394649130897</v>
      </c>
      <c r="G42" s="15">
        <v>592.82232789835393</v>
      </c>
      <c r="H42" s="15">
        <v>786.53802957368021</v>
      </c>
      <c r="I42" s="15">
        <v>86.1</v>
      </c>
      <c r="J42" s="43">
        <f t="shared" si="5"/>
        <v>952.18297163340901</v>
      </c>
      <c r="K42" s="13">
        <f t="shared" si="26"/>
        <v>0.52930564990924445</v>
      </c>
      <c r="L42" s="13">
        <f t="shared" si="28"/>
        <v>0.70226609783364302</v>
      </c>
      <c r="M42" s="13">
        <f t="shared" si="27"/>
        <v>86.1</v>
      </c>
      <c r="N42" s="13">
        <f t="shared" si="8"/>
        <v>0.85016336752982946</v>
      </c>
      <c r="O42" s="16">
        <f t="shared" si="35"/>
        <v>4.9836632470170561E-2</v>
      </c>
      <c r="P42" s="16">
        <f t="shared" si="32"/>
        <v>0.11782391681792589</v>
      </c>
      <c r="Q42" s="16">
        <f t="shared" si="33"/>
        <v>0.11522788140020224</v>
      </c>
      <c r="R42" s="16">
        <f t="shared" si="34"/>
        <v>-6.9933946491308916</v>
      </c>
      <c r="S42" s="16">
        <f t="shared" si="11"/>
        <v>7.0694350090755531E-2</v>
      </c>
      <c r="T42" s="16">
        <f t="shared" si="12"/>
        <v>9.145929548573406E-2</v>
      </c>
      <c r="U42" s="6">
        <f t="shared" si="13"/>
        <v>2.0764945394978529E-2</v>
      </c>
      <c r="V42" s="35">
        <f t="shared" si="14"/>
        <v>0.75592894601845451</v>
      </c>
      <c r="W42" s="4">
        <f t="shared" si="15"/>
        <v>3.213379549579797</v>
      </c>
      <c r="X42" s="4">
        <f t="shared" si="16"/>
        <v>4.1572407038970027</v>
      </c>
    </row>
    <row r="43" spans="1:24">
      <c r="A43" s="2">
        <v>0.9</v>
      </c>
      <c r="B43" s="2">
        <v>0.6</v>
      </c>
      <c r="C43" s="3">
        <f t="shared" si="29"/>
        <v>0.79372539331937708</v>
      </c>
      <c r="D43" s="4">
        <f t="shared" si="30"/>
        <v>79.106605350869103</v>
      </c>
      <c r="E43" s="2">
        <v>60</v>
      </c>
      <c r="F43" s="4">
        <f t="shared" si="31"/>
        <v>40.893394649130897</v>
      </c>
      <c r="G43" s="5">
        <v>593.42696084155261</v>
      </c>
      <c r="H43" s="5">
        <v>793.46027597668785</v>
      </c>
      <c r="I43" s="5">
        <v>83.5</v>
      </c>
      <c r="J43" s="43">
        <f t="shared" si="5"/>
        <v>935.48323015275321</v>
      </c>
      <c r="K43" s="3">
        <f t="shared" si="26"/>
        <v>0.52984550075138626</v>
      </c>
      <c r="L43" s="3">
        <f t="shared" si="28"/>
        <v>0.70844667497918556</v>
      </c>
      <c r="M43" s="3">
        <f t="shared" si="27"/>
        <v>83.5</v>
      </c>
      <c r="N43" s="13">
        <f t="shared" si="8"/>
        <v>0.83525288406495812</v>
      </c>
      <c r="O43" s="6">
        <f t="shared" si="35"/>
        <v>6.4747115935041899E-2</v>
      </c>
      <c r="P43" s="6">
        <f t="shared" si="32"/>
        <v>0.11692416541435621</v>
      </c>
      <c r="Q43" s="6">
        <f t="shared" si="33"/>
        <v>0.10744108612117603</v>
      </c>
      <c r="R43" s="6">
        <f t="shared" si="34"/>
        <v>-4.3933946491308973</v>
      </c>
      <c r="S43" s="16">
        <f t="shared" si="11"/>
        <v>7.0154499248613722E-2</v>
      </c>
      <c r="T43" s="16">
        <f t="shared" si="12"/>
        <v>8.5278718340191517E-2</v>
      </c>
      <c r="U43" s="6">
        <f t="shared" si="13"/>
        <v>1.5124219091577795E-2</v>
      </c>
      <c r="V43" s="35">
        <f t="shared" si="14"/>
        <v>0.75592894601845451</v>
      </c>
      <c r="W43" s="4">
        <f t="shared" si="15"/>
        <v>3.1888408749369872</v>
      </c>
      <c r="X43" s="4">
        <f t="shared" si="16"/>
        <v>3.8763053790996143</v>
      </c>
    </row>
    <row r="44" spans="1:24">
      <c r="A44" s="2">
        <v>0.9</v>
      </c>
      <c r="B44" s="2">
        <v>0.6</v>
      </c>
      <c r="C44" s="3">
        <f t="shared" si="29"/>
        <v>0.79372539331937708</v>
      </c>
      <c r="D44" s="4">
        <f t="shared" si="30"/>
        <v>79.106605350869103</v>
      </c>
      <c r="E44" s="2">
        <v>60</v>
      </c>
      <c r="F44" s="4">
        <f t="shared" si="31"/>
        <v>40.893394649130897</v>
      </c>
      <c r="G44" s="5">
        <v>588.02746593315362</v>
      </c>
      <c r="H44" s="5">
        <v>784.49337270400281</v>
      </c>
      <c r="I44" s="5">
        <v>84.6</v>
      </c>
      <c r="J44" s="43">
        <f t="shared" si="5"/>
        <v>935.08349127301619</v>
      </c>
      <c r="K44" s="3">
        <f t="shared" si="26"/>
        <v>0.52502452315460146</v>
      </c>
      <c r="L44" s="3">
        <f t="shared" si="28"/>
        <v>0.70044051134285967</v>
      </c>
      <c r="M44" s="3">
        <f t="shared" si="27"/>
        <v>84.6</v>
      </c>
      <c r="N44" s="13">
        <f t="shared" si="8"/>
        <v>0.83489597435090723</v>
      </c>
      <c r="O44" s="6">
        <f t="shared" si="35"/>
        <v>6.5104025649092789E-2</v>
      </c>
      <c r="P44" s="6">
        <f t="shared" si="32"/>
        <v>0.1249591280756642</v>
      </c>
      <c r="Q44" s="6">
        <f t="shared" si="33"/>
        <v>0.11752790418660788</v>
      </c>
      <c r="R44" s="6">
        <f t="shared" si="34"/>
        <v>-5.4933946491308916</v>
      </c>
      <c r="S44" s="16">
        <f t="shared" si="11"/>
        <v>7.4975476845398514E-2</v>
      </c>
      <c r="T44" s="16">
        <f t="shared" si="12"/>
        <v>9.3284881976517409E-2</v>
      </c>
      <c r="U44" s="6">
        <f t="shared" si="13"/>
        <v>1.8309405131118894E-2</v>
      </c>
      <c r="V44" s="35">
        <f t="shared" si="14"/>
        <v>0.75592894601845451</v>
      </c>
      <c r="W44" s="4">
        <f t="shared" si="15"/>
        <v>3.4079762202453874</v>
      </c>
      <c r="X44" s="4">
        <f t="shared" si="16"/>
        <v>4.2402219080235186</v>
      </c>
    </row>
    <row r="45" spans="1:24">
      <c r="A45" s="7">
        <v>0.9</v>
      </c>
      <c r="B45" s="7">
        <v>0.6</v>
      </c>
      <c r="C45" s="8">
        <f t="shared" si="29"/>
        <v>0.79372539331937708</v>
      </c>
      <c r="D45" s="9">
        <f t="shared" si="30"/>
        <v>79.106605350869103</v>
      </c>
      <c r="E45" s="7">
        <v>60</v>
      </c>
      <c r="F45" s="9">
        <f t="shared" si="31"/>
        <v>40.893394649130897</v>
      </c>
      <c r="G45" s="10">
        <v>588.910630706544</v>
      </c>
      <c r="H45" s="10">
        <v>782.68674268729126</v>
      </c>
      <c r="I45" s="10">
        <v>84.7</v>
      </c>
      <c r="J45" s="43">
        <f t="shared" si="5"/>
        <v>935.01927709823133</v>
      </c>
      <c r="K45" s="8">
        <f t="shared" si="26"/>
        <v>0.52581306313084286</v>
      </c>
      <c r="L45" s="8">
        <f t="shared" si="28"/>
        <v>0.69882744882793857</v>
      </c>
      <c r="M45" s="8">
        <f t="shared" si="27"/>
        <v>84.7</v>
      </c>
      <c r="N45" s="13">
        <f t="shared" si="8"/>
        <v>0.83483864026627796</v>
      </c>
      <c r="O45" s="11">
        <f t="shared" si="35"/>
        <v>6.5161359733722057E-2</v>
      </c>
      <c r="P45" s="11">
        <f t="shared" si="32"/>
        <v>0.12364489478192853</v>
      </c>
      <c r="Q45" s="11">
        <f t="shared" si="33"/>
        <v>0.11956017193121819</v>
      </c>
      <c r="R45" s="11">
        <f t="shared" si="34"/>
        <v>-5.5933946491309001</v>
      </c>
      <c r="S45" s="16">
        <f t="shared" si="11"/>
        <v>7.4186936869157116E-2</v>
      </c>
      <c r="T45" s="16">
        <f t="shared" si="12"/>
        <v>9.4897944491438513E-2</v>
      </c>
      <c r="U45" s="6">
        <f t="shared" si="13"/>
        <v>2.0711007622281397E-2</v>
      </c>
      <c r="V45" s="35">
        <f t="shared" si="14"/>
        <v>0.75592894601845451</v>
      </c>
      <c r="W45" s="4">
        <f t="shared" si="15"/>
        <v>3.3721334940525964</v>
      </c>
      <c r="X45" s="4">
        <f t="shared" si="16"/>
        <v>4.3135429314290228</v>
      </c>
    </row>
    <row r="46" spans="1:24">
      <c r="A46" s="12">
        <v>0.9</v>
      </c>
      <c r="B46" s="12">
        <v>0.6</v>
      </c>
      <c r="C46" s="13">
        <f t="shared" si="29"/>
        <v>1.0816653826391966</v>
      </c>
      <c r="D46" s="14">
        <f t="shared" si="30"/>
        <v>56.309932474020208</v>
      </c>
      <c r="E46" s="12">
        <v>90</v>
      </c>
      <c r="F46" s="14">
        <f t="shared" si="31"/>
        <v>33.690067525979792</v>
      </c>
      <c r="G46" s="15">
        <v>562.37292412668842</v>
      </c>
      <c r="H46" s="15">
        <v>1020.51175541957</v>
      </c>
      <c r="I46" s="15">
        <v>66</v>
      </c>
      <c r="J46" s="43">
        <f t="shared" si="5"/>
        <v>943.84775022546216</v>
      </c>
      <c r="K46" s="13">
        <f t="shared" si="26"/>
        <v>0.50211868225597178</v>
      </c>
      <c r="L46" s="13">
        <f t="shared" si="28"/>
        <v>0.91117121019604463</v>
      </c>
      <c r="M46" s="13">
        <f t="shared" si="27"/>
        <v>66</v>
      </c>
      <c r="N46" s="13">
        <f t="shared" si="8"/>
        <v>0.84272120555844832</v>
      </c>
      <c r="O46" s="16">
        <f t="shared" si="35"/>
        <v>5.7278794441551706E-2</v>
      </c>
      <c r="P46" s="16">
        <f t="shared" si="32"/>
        <v>0.16313552957338034</v>
      </c>
      <c r="Q46" s="16">
        <f t="shared" si="33"/>
        <v>0.15762191818245747</v>
      </c>
      <c r="R46" s="16">
        <f t="shared" si="34"/>
        <v>-9.6900675259797922</v>
      </c>
      <c r="S46" s="16">
        <f t="shared" si="11"/>
        <v>9.7881317744028196E-2</v>
      </c>
      <c r="T46" s="16">
        <f t="shared" si="12"/>
        <v>0.17049417244315201</v>
      </c>
      <c r="U46" s="6">
        <f t="shared" si="13"/>
        <v>7.2612854699123819E-2</v>
      </c>
      <c r="V46" s="35">
        <f t="shared" si="14"/>
        <v>0.55470019622522915</v>
      </c>
      <c r="W46" s="4">
        <f t="shared" si="15"/>
        <v>4.4491508065467364</v>
      </c>
      <c r="X46" s="4">
        <f t="shared" si="16"/>
        <v>7.7497351110523649</v>
      </c>
    </row>
    <row r="47" spans="1:24">
      <c r="A47" s="2">
        <v>0.9</v>
      </c>
      <c r="B47" s="2">
        <v>0.6</v>
      </c>
      <c r="C47" s="3">
        <f t="shared" si="29"/>
        <v>1.0816653826391966</v>
      </c>
      <c r="D47" s="4">
        <f t="shared" si="30"/>
        <v>56.309932474020208</v>
      </c>
      <c r="E47" s="2">
        <v>90</v>
      </c>
      <c r="F47" s="4">
        <f t="shared" si="31"/>
        <v>33.690067525979792</v>
      </c>
      <c r="G47" s="5">
        <v>549.19448888180887</v>
      </c>
      <c r="H47" s="5">
        <v>1042.509436631562</v>
      </c>
      <c r="I47" s="5">
        <v>64.5</v>
      </c>
      <c r="J47" s="43">
        <f t="shared" si="5"/>
        <v>946.29302486453446</v>
      </c>
      <c r="K47" s="3">
        <f t="shared" si="26"/>
        <v>0.49035222221590075</v>
      </c>
      <c r="L47" s="3">
        <f t="shared" si="28"/>
        <v>0.93081199699246597</v>
      </c>
      <c r="M47" s="3">
        <f t="shared" si="27"/>
        <v>64.5</v>
      </c>
      <c r="N47" s="13">
        <f t="shared" si="8"/>
        <v>0.84490448648619143</v>
      </c>
      <c r="O47" s="6">
        <f t="shared" si="35"/>
        <v>5.5095513513808592E-2</v>
      </c>
      <c r="P47" s="6">
        <f t="shared" si="32"/>
        <v>0.18274629630683206</v>
      </c>
      <c r="Q47" s="6">
        <f t="shared" si="33"/>
        <v>0.13946400436580281</v>
      </c>
      <c r="R47" s="6">
        <f t="shared" si="34"/>
        <v>-8.1900675259797922</v>
      </c>
      <c r="S47" s="16">
        <f t="shared" si="11"/>
        <v>0.10964777778409923</v>
      </c>
      <c r="T47" s="16">
        <f t="shared" si="12"/>
        <v>0.15085338564673068</v>
      </c>
      <c r="U47" s="6">
        <f t="shared" si="13"/>
        <v>4.1205607862631444E-2</v>
      </c>
      <c r="V47" s="35">
        <f t="shared" si="14"/>
        <v>0.55470019622522915</v>
      </c>
      <c r="W47" s="4">
        <f t="shared" si="15"/>
        <v>4.9839898992772378</v>
      </c>
      <c r="X47" s="4">
        <f t="shared" si="16"/>
        <v>6.8569720748513951</v>
      </c>
    </row>
    <row r="48" spans="1:24">
      <c r="A48" s="2">
        <v>0.9</v>
      </c>
      <c r="B48" s="2">
        <v>0.6</v>
      </c>
      <c r="C48" s="3">
        <f t="shared" si="29"/>
        <v>1.0816653826391966</v>
      </c>
      <c r="D48" s="4">
        <f t="shared" si="30"/>
        <v>56.309932474020208</v>
      </c>
      <c r="E48" s="2">
        <v>90</v>
      </c>
      <c r="F48" s="4">
        <f t="shared" si="31"/>
        <v>33.690067525979792</v>
      </c>
      <c r="G48" s="5">
        <v>549.10266263220012</v>
      </c>
      <c r="H48" s="5">
        <v>1078.080776288577</v>
      </c>
      <c r="I48" s="5">
        <v>62.5</v>
      </c>
      <c r="J48" s="43">
        <f t="shared" si="5"/>
        <v>957.64437751325022</v>
      </c>
      <c r="K48" s="3">
        <f t="shared" si="26"/>
        <v>0.49027023449303581</v>
      </c>
      <c r="L48" s="3">
        <f t="shared" si="28"/>
        <v>0.96257212168622941</v>
      </c>
      <c r="M48" s="3">
        <f t="shared" si="27"/>
        <v>62.5</v>
      </c>
      <c r="N48" s="13">
        <f t="shared" si="8"/>
        <v>0.8550396227796877</v>
      </c>
      <c r="O48" s="6">
        <f t="shared" si="35"/>
        <v>4.496037722031232E-2</v>
      </c>
      <c r="P48" s="6">
        <f t="shared" si="32"/>
        <v>0.18288294251160697</v>
      </c>
      <c r="Q48" s="6">
        <f t="shared" si="33"/>
        <v>0.11010175869952225</v>
      </c>
      <c r="R48" s="6">
        <f t="shared" si="34"/>
        <v>-6.1900675259797922</v>
      </c>
      <c r="S48" s="16">
        <f t="shared" si="11"/>
        <v>0.10972976550696417</v>
      </c>
      <c r="T48" s="16">
        <f t="shared" si="12"/>
        <v>0.11909326095296724</v>
      </c>
      <c r="U48" s="6">
        <f t="shared" si="13"/>
        <v>9.3634954460030673E-3</v>
      </c>
      <c r="V48" s="35">
        <f t="shared" si="14"/>
        <v>0.55470019622522915</v>
      </c>
      <c r="W48" s="4">
        <f t="shared" si="15"/>
        <v>4.9877166139529168</v>
      </c>
      <c r="X48" s="4">
        <f t="shared" si="16"/>
        <v>5.4133300433166927</v>
      </c>
    </row>
    <row r="49" spans="1:24">
      <c r="A49" s="7">
        <v>0.9</v>
      </c>
      <c r="B49" s="7">
        <v>0.6</v>
      </c>
      <c r="C49" s="8">
        <f t="shared" si="29"/>
        <v>1.0816653826391966</v>
      </c>
      <c r="D49" s="9">
        <f t="shared" si="30"/>
        <v>56.309932474020208</v>
      </c>
      <c r="E49" s="7">
        <v>90</v>
      </c>
      <c r="F49" s="9">
        <f t="shared" si="31"/>
        <v>33.690067525979792</v>
      </c>
      <c r="G49" s="10">
        <v>545.3356313659159</v>
      </c>
      <c r="H49" s="10">
        <v>1084.47123322776</v>
      </c>
      <c r="I49" s="10">
        <v>58.1</v>
      </c>
      <c r="J49" s="43">
        <f t="shared" si="5"/>
        <v>921.10319388698247</v>
      </c>
      <c r="K49" s="8">
        <f t="shared" si="26"/>
        <v>0.48690681371956773</v>
      </c>
      <c r="L49" s="8">
        <f t="shared" si="28"/>
        <v>0.96827788681049998</v>
      </c>
      <c r="M49" s="8">
        <f t="shared" si="27"/>
        <v>58.1</v>
      </c>
      <c r="N49" s="13">
        <f t="shared" si="8"/>
        <v>0.82241356597051996</v>
      </c>
      <c r="O49" s="11">
        <f t="shared" si="35"/>
        <v>7.7586434029480067E-2</v>
      </c>
      <c r="P49" s="11">
        <f t="shared" si="32"/>
        <v>0.18848864380072042</v>
      </c>
      <c r="Q49" s="11">
        <f t="shared" si="33"/>
        <v>0.104826776976109</v>
      </c>
      <c r="R49" s="11">
        <f t="shared" si="34"/>
        <v>-1.7900675259797936</v>
      </c>
      <c r="S49" s="16">
        <f t="shared" si="11"/>
        <v>0.11309318628043225</v>
      </c>
      <c r="T49" s="16">
        <f t="shared" si="12"/>
        <v>0.11338749582869667</v>
      </c>
      <c r="U49" s="6">
        <f t="shared" si="13"/>
        <v>2.9430954826442646E-4</v>
      </c>
      <c r="V49" s="35">
        <f t="shared" si="14"/>
        <v>0.55470019622522915</v>
      </c>
      <c r="W49" s="4">
        <f t="shared" si="15"/>
        <v>5.1405993763832845</v>
      </c>
      <c r="X49" s="4">
        <f t="shared" si="16"/>
        <v>5.1539770831225757</v>
      </c>
    </row>
    <row r="50" spans="1:24">
      <c r="A50" s="12">
        <v>0.9</v>
      </c>
      <c r="B50" s="12">
        <v>0.9</v>
      </c>
      <c r="C50" s="13">
        <f t="shared" si="29"/>
        <v>0.46587428118453739</v>
      </c>
      <c r="D50" s="14">
        <f t="shared" si="30"/>
        <v>75.000000000000014</v>
      </c>
      <c r="E50" s="12">
        <v>30</v>
      </c>
      <c r="F50" s="14">
        <f t="shared" si="31"/>
        <v>74.999999999999986</v>
      </c>
      <c r="G50" s="15">
        <v>895.07877010193749</v>
      </c>
      <c r="H50" s="15">
        <v>461.15847630915732</v>
      </c>
      <c r="I50" s="15">
        <v>80</v>
      </c>
      <c r="J50" s="43">
        <f t="shared" si="5"/>
        <v>932.99438920461296</v>
      </c>
      <c r="K50" s="13">
        <f t="shared" si="26"/>
        <v>0.79917747330530131</v>
      </c>
      <c r="L50" s="13">
        <f t="shared" si="28"/>
        <v>0.41174863956174756</v>
      </c>
      <c r="M50" s="13">
        <f t="shared" si="27"/>
        <v>80</v>
      </c>
      <c r="N50" s="13">
        <f t="shared" si="8"/>
        <v>0.83303070464697582</v>
      </c>
      <c r="O50" s="16">
        <f t="shared" si="35"/>
        <v>6.6969295353024205E-2</v>
      </c>
      <c r="P50" s="16">
        <f t="shared" si="32"/>
        <v>0.11202502966077635</v>
      </c>
      <c r="Q50" s="16">
        <f t="shared" si="33"/>
        <v>0.11618078912870942</v>
      </c>
      <c r="R50" s="16">
        <f t="shared" si="34"/>
        <v>-4.9999999999999858</v>
      </c>
      <c r="S50" s="16">
        <f t="shared" si="11"/>
        <v>0.10082252669469871</v>
      </c>
      <c r="T50" s="16">
        <f t="shared" si="12"/>
        <v>5.4125641622789822E-2</v>
      </c>
      <c r="U50" s="6">
        <f t="shared" si="13"/>
        <v>4.6696885071908889E-2</v>
      </c>
      <c r="V50" s="35">
        <f t="shared" si="14"/>
        <v>1.9318516525781366</v>
      </c>
      <c r="W50" s="4">
        <f t="shared" si="15"/>
        <v>4.582842122486305</v>
      </c>
      <c r="X50" s="4">
        <f t="shared" si="16"/>
        <v>2.4602564373995373</v>
      </c>
    </row>
    <row r="51" spans="1:24">
      <c r="A51" s="2">
        <v>0.9</v>
      </c>
      <c r="B51" s="2">
        <v>0.9</v>
      </c>
      <c r="C51" s="3">
        <f t="shared" si="29"/>
        <v>0.46587428118453739</v>
      </c>
      <c r="D51" s="4">
        <f t="shared" si="30"/>
        <v>75.000000000000014</v>
      </c>
      <c r="E51" s="2">
        <v>30</v>
      </c>
      <c r="F51" s="4">
        <f t="shared" si="31"/>
        <v>74.999999999999986</v>
      </c>
      <c r="G51" s="5">
        <v>890.06136742765659</v>
      </c>
      <c r="H51" s="5">
        <v>441.01623342257722</v>
      </c>
      <c r="I51" s="5">
        <v>83.6</v>
      </c>
      <c r="J51" s="43">
        <f t="shared" si="5"/>
        <v>948.25862452128206</v>
      </c>
      <c r="K51" s="3">
        <f t="shared" si="26"/>
        <v>0.79469764948897903</v>
      </c>
      <c r="L51" s="3">
        <f t="shared" si="28"/>
        <v>0.39376449412730102</v>
      </c>
      <c r="M51" s="3">
        <f t="shared" si="27"/>
        <v>83.6</v>
      </c>
      <c r="N51" s="13">
        <f t="shared" si="8"/>
        <v>0.84665948617971609</v>
      </c>
      <c r="O51" s="6">
        <f t="shared" si="35"/>
        <v>5.334051382028393E-2</v>
      </c>
      <c r="P51" s="6">
        <f t="shared" si="32"/>
        <v>0.11700261167891221</v>
      </c>
      <c r="Q51" s="6">
        <f t="shared" si="33"/>
        <v>0.15478379032619954</v>
      </c>
      <c r="R51" s="6">
        <f t="shared" si="34"/>
        <v>-8.5999999999999801</v>
      </c>
      <c r="S51" s="16">
        <f t="shared" si="11"/>
        <v>0.10530235051102099</v>
      </c>
      <c r="T51" s="16">
        <f t="shared" si="12"/>
        <v>7.2109787057236363E-2</v>
      </c>
      <c r="U51" s="6">
        <f t="shared" si="13"/>
        <v>3.3192563453784629E-2</v>
      </c>
      <c r="V51" s="35">
        <f t="shared" si="14"/>
        <v>1.9318516525781366</v>
      </c>
      <c r="W51" s="4">
        <f t="shared" si="15"/>
        <v>4.7864704777736815</v>
      </c>
      <c r="X51" s="4">
        <f t="shared" si="16"/>
        <v>3.2777175935107437</v>
      </c>
    </row>
    <row r="52" spans="1:24">
      <c r="A52" s="7">
        <v>0.9</v>
      </c>
      <c r="B52" s="7">
        <v>0.9</v>
      </c>
      <c r="C52" s="8">
        <f t="shared" si="29"/>
        <v>0.46587428118453739</v>
      </c>
      <c r="D52" s="9">
        <f t="shared" si="30"/>
        <v>75.000000000000014</v>
      </c>
      <c r="E52" s="7">
        <v>30</v>
      </c>
      <c r="F52" s="9">
        <f t="shared" si="31"/>
        <v>74.999999999999986</v>
      </c>
      <c r="G52" s="10">
        <v>874.29574128126092</v>
      </c>
      <c r="H52" s="10">
        <v>454.21359652181548</v>
      </c>
      <c r="I52" s="10">
        <v>81.7</v>
      </c>
      <c r="J52" s="43">
        <f t="shared" si="5"/>
        <v>925.22993237802552</v>
      </c>
      <c r="K52" s="8">
        <f t="shared" si="26"/>
        <v>0.78062119757255433</v>
      </c>
      <c r="L52" s="8">
        <f t="shared" si="28"/>
        <v>0.40554785403733518</v>
      </c>
      <c r="M52" s="8">
        <f t="shared" si="27"/>
        <v>81.7</v>
      </c>
      <c r="N52" s="13">
        <f t="shared" si="8"/>
        <v>0.82609815390895125</v>
      </c>
      <c r="O52" s="11">
        <f t="shared" si="35"/>
        <v>7.3901846091048773E-2</v>
      </c>
      <c r="P52" s="11">
        <f t="shared" si="32"/>
        <v>0.13264311380827298</v>
      </c>
      <c r="Q52" s="11">
        <f t="shared" si="33"/>
        <v>0.12949078664273017</v>
      </c>
      <c r="R52" s="11">
        <f t="shared" si="34"/>
        <v>-6.6999999999999886</v>
      </c>
      <c r="S52" s="16">
        <f t="shared" si="11"/>
        <v>0.1193788024274457</v>
      </c>
      <c r="T52" s="16">
        <f t="shared" si="12"/>
        <v>6.0326427147202211E-2</v>
      </c>
      <c r="U52" s="6">
        <f t="shared" si="13"/>
        <v>5.9052375280243485E-2</v>
      </c>
      <c r="V52" s="35">
        <f t="shared" si="14"/>
        <v>1.9318516525781366</v>
      </c>
      <c r="W52" s="4">
        <f t="shared" si="15"/>
        <v>5.4263092012475314</v>
      </c>
      <c r="X52" s="4">
        <f t="shared" si="16"/>
        <v>2.7421103248728276</v>
      </c>
    </row>
    <row r="53" spans="1:24">
      <c r="A53" s="12">
        <v>0.9</v>
      </c>
      <c r="B53" s="12">
        <v>0.9</v>
      </c>
      <c r="C53" s="13">
        <f t="shared" si="29"/>
        <v>0.89999999999999991</v>
      </c>
      <c r="D53" s="14">
        <f t="shared" si="30"/>
        <v>59.999999999999993</v>
      </c>
      <c r="E53" s="12">
        <v>60</v>
      </c>
      <c r="F53" s="14">
        <f t="shared" si="31"/>
        <v>60.000000000000007</v>
      </c>
      <c r="G53" s="15">
        <v>849.96404426695233</v>
      </c>
      <c r="H53" s="15">
        <v>870.72800223409945</v>
      </c>
      <c r="I53" s="15">
        <v>65.900000000000006</v>
      </c>
      <c r="J53" s="43">
        <f t="shared" si="5"/>
        <v>936.05854300569467</v>
      </c>
      <c r="K53" s="13">
        <f t="shared" si="26"/>
        <v>0.75889646809549316</v>
      </c>
      <c r="L53" s="13">
        <f t="shared" si="28"/>
        <v>0.77743571628044583</v>
      </c>
      <c r="M53" s="13">
        <f t="shared" si="27"/>
        <v>65.900000000000006</v>
      </c>
      <c r="N53" s="13">
        <f t="shared" si="8"/>
        <v>0.83576655625508445</v>
      </c>
      <c r="O53" s="16">
        <f t="shared" si="35"/>
        <v>6.4233443744915575E-2</v>
      </c>
      <c r="P53" s="16">
        <f t="shared" si="32"/>
        <v>0.15678170211611872</v>
      </c>
      <c r="Q53" s="16">
        <f t="shared" si="33"/>
        <v>0.13618253746617121</v>
      </c>
      <c r="R53" s="16">
        <f t="shared" si="34"/>
        <v>-5.9000000000000128</v>
      </c>
      <c r="S53" s="16">
        <f t="shared" si="11"/>
        <v>0.14110353190450686</v>
      </c>
      <c r="T53" s="16">
        <f t="shared" si="12"/>
        <v>0.12256428371955408</v>
      </c>
      <c r="U53" s="6">
        <f t="shared" si="13"/>
        <v>1.8539248184952783E-2</v>
      </c>
      <c r="V53" s="35">
        <f t="shared" si="14"/>
        <v>1.0000000000000002</v>
      </c>
      <c r="W53" s="4">
        <f t="shared" si="15"/>
        <v>6.4137969047503125</v>
      </c>
      <c r="X53" s="4">
        <f t="shared" si="16"/>
        <v>5.5711038054342765</v>
      </c>
    </row>
    <row r="54" spans="1:24">
      <c r="A54" s="2">
        <v>0.9</v>
      </c>
      <c r="B54" s="2">
        <v>0.9</v>
      </c>
      <c r="C54" s="3">
        <f t="shared" si="29"/>
        <v>0.89999999999999991</v>
      </c>
      <c r="D54" s="4">
        <f t="shared" si="30"/>
        <v>59.999999999999993</v>
      </c>
      <c r="E54" s="2">
        <v>60</v>
      </c>
      <c r="F54" s="4">
        <f t="shared" si="31"/>
        <v>60.000000000000007</v>
      </c>
      <c r="G54" s="5">
        <v>885.84154862858304</v>
      </c>
      <c r="H54" s="5">
        <v>873.08454178528518</v>
      </c>
      <c r="I54" s="5">
        <v>64.900000000000006</v>
      </c>
      <c r="J54" s="43">
        <f t="shared" si="5"/>
        <v>943.83676788072637</v>
      </c>
      <c r="K54" s="3">
        <f t="shared" si="26"/>
        <v>0.79092995413266343</v>
      </c>
      <c r="L54" s="3">
        <f t="shared" si="28"/>
        <v>0.77953976945114745</v>
      </c>
      <c r="M54" s="3">
        <f t="shared" si="27"/>
        <v>64.900000000000006</v>
      </c>
      <c r="N54" s="13">
        <f t="shared" si="8"/>
        <v>0.84271139989350563</v>
      </c>
      <c r="O54" s="6">
        <f t="shared" si="35"/>
        <v>5.7288600106494392E-2</v>
      </c>
      <c r="P54" s="6">
        <f t="shared" si="32"/>
        <v>0.12118893985259621</v>
      </c>
      <c r="Q54" s="6">
        <f t="shared" si="33"/>
        <v>0.13384470060983608</v>
      </c>
      <c r="R54" s="6">
        <f t="shared" si="34"/>
        <v>-4.9000000000000128</v>
      </c>
      <c r="S54" s="16">
        <f t="shared" si="11"/>
        <v>0.1090700458673366</v>
      </c>
      <c r="T54" s="16">
        <f t="shared" si="12"/>
        <v>0.12046023054885246</v>
      </c>
      <c r="U54" s="6">
        <f t="shared" si="13"/>
        <v>1.1390184681515869E-2</v>
      </c>
      <c r="V54" s="35">
        <f t="shared" si="14"/>
        <v>1.0000000000000002</v>
      </c>
      <c r="W54" s="4">
        <f t="shared" si="15"/>
        <v>4.9577293576062091</v>
      </c>
      <c r="X54" s="4">
        <f t="shared" si="16"/>
        <v>5.4754650249478392</v>
      </c>
    </row>
    <row r="55" spans="1:24">
      <c r="A55" s="29">
        <v>0.9</v>
      </c>
      <c r="B55" s="29">
        <v>0.9</v>
      </c>
      <c r="C55" s="30">
        <f t="shared" si="29"/>
        <v>0.89999999999999991</v>
      </c>
      <c r="D55" s="31">
        <f t="shared" si="30"/>
        <v>59.999999999999993</v>
      </c>
      <c r="E55" s="29">
        <v>60</v>
      </c>
      <c r="F55" s="31">
        <f t="shared" si="31"/>
        <v>60.000000000000007</v>
      </c>
      <c r="G55" s="32">
        <v>865.92710909977643</v>
      </c>
      <c r="H55" s="32">
        <v>871.39411402355461</v>
      </c>
      <c r="I55" s="32">
        <v>65</v>
      </c>
      <c r="J55" s="43">
        <f t="shared" si="5"/>
        <v>933.47340024708967</v>
      </c>
      <c r="K55" s="30">
        <f t="shared" si="26"/>
        <v>0.77314920455337177</v>
      </c>
      <c r="L55" s="30">
        <f t="shared" si="28"/>
        <v>0.77803045894960221</v>
      </c>
      <c r="M55" s="30">
        <f t="shared" si="27"/>
        <v>65</v>
      </c>
      <c r="N55" s="13">
        <f t="shared" si="8"/>
        <v>0.83345839307775849</v>
      </c>
      <c r="O55" s="33">
        <f t="shared" si="35"/>
        <v>6.6541606922241536E-2</v>
      </c>
      <c r="P55" s="33">
        <f t="shared" si="32"/>
        <v>0.14094532827403139</v>
      </c>
      <c r="Q55" s="33">
        <f t="shared" si="33"/>
        <v>0.13552171227821969</v>
      </c>
      <c r="R55" s="33">
        <f t="shared" si="34"/>
        <v>-5.0000000000000071</v>
      </c>
      <c r="S55" s="34">
        <f t="shared" si="11"/>
        <v>0.12685079544662825</v>
      </c>
      <c r="T55" s="34">
        <f t="shared" si="12"/>
        <v>0.1219695410503977</v>
      </c>
      <c r="U55" s="33">
        <f t="shared" si="13"/>
        <v>4.8812543962305499E-3</v>
      </c>
      <c r="V55" s="35">
        <f t="shared" si="14"/>
        <v>1.0000000000000002</v>
      </c>
      <c r="W55" s="4">
        <f t="shared" si="15"/>
        <v>5.7659452475740114</v>
      </c>
      <c r="X55" s="4">
        <f t="shared" si="16"/>
        <v>5.5440700477453495</v>
      </c>
    </row>
    <row r="56" spans="1:24">
      <c r="A56" s="7">
        <v>0.9</v>
      </c>
      <c r="B56" s="7">
        <v>0.9</v>
      </c>
      <c r="C56" s="8">
        <f t="shared" si="29"/>
        <v>0.89999999999999991</v>
      </c>
      <c r="D56" s="9">
        <f t="shared" si="30"/>
        <v>59.999999999999993</v>
      </c>
      <c r="E56" s="7">
        <v>60</v>
      </c>
      <c r="F56" s="9">
        <f t="shared" si="31"/>
        <v>60.000000000000007</v>
      </c>
      <c r="G56" s="10">
        <v>884.3358682930849</v>
      </c>
      <c r="H56" s="10">
        <v>874.0783992891802</v>
      </c>
      <c r="I56" s="10">
        <v>64.2</v>
      </c>
      <c r="J56" s="43">
        <f t="shared" si="5"/>
        <v>934.45924492127267</v>
      </c>
      <c r="K56" s="8">
        <f t="shared" si="26"/>
        <v>0.7895855966902543</v>
      </c>
      <c r="L56" s="8">
        <f t="shared" si="28"/>
        <v>0.78042714222248222</v>
      </c>
      <c r="M56" s="8">
        <f t="shared" si="27"/>
        <v>64.2</v>
      </c>
      <c r="N56" s="13">
        <f t="shared" si="8"/>
        <v>0.83433861153685052</v>
      </c>
      <c r="O56" s="11">
        <f t="shared" si="35"/>
        <v>6.5661388463149506E-2</v>
      </c>
      <c r="P56" s="11">
        <f t="shared" si="32"/>
        <v>0.12268267034416191</v>
      </c>
      <c r="Q56" s="11">
        <f t="shared" si="33"/>
        <v>0.13285873086390856</v>
      </c>
      <c r="R56" s="11">
        <f t="shared" si="34"/>
        <v>-4.2000000000000099</v>
      </c>
      <c r="S56" s="16">
        <f t="shared" si="11"/>
        <v>0.11041440330974572</v>
      </c>
      <c r="T56" s="16">
        <f t="shared" si="12"/>
        <v>0.11957285777751769</v>
      </c>
      <c r="U56" s="6">
        <f t="shared" si="13"/>
        <v>9.1584544677719704E-3</v>
      </c>
      <c r="V56" s="35">
        <f t="shared" si="14"/>
        <v>1.0000000000000002</v>
      </c>
      <c r="W56" s="4">
        <f t="shared" si="15"/>
        <v>5.0188365140793509</v>
      </c>
      <c r="X56" s="4">
        <f t="shared" si="16"/>
        <v>5.4351298989780767</v>
      </c>
    </row>
    <row r="57" spans="1:24">
      <c r="A57" s="12">
        <v>0.9</v>
      </c>
      <c r="B57" s="12">
        <v>0.9</v>
      </c>
      <c r="C57" s="13">
        <f t="shared" si="29"/>
        <v>1.2727922061357855</v>
      </c>
      <c r="D57" s="14">
        <f t="shared" si="30"/>
        <v>44.999999999999979</v>
      </c>
      <c r="E57" s="12">
        <v>90</v>
      </c>
      <c r="F57" s="14">
        <f t="shared" si="31"/>
        <v>45.000000000000021</v>
      </c>
      <c r="G57" s="15">
        <v>848.05387665723606</v>
      </c>
      <c r="H57" s="15">
        <v>1216.1908231724531</v>
      </c>
      <c r="I57" s="15">
        <v>50.7</v>
      </c>
      <c r="J57" s="43">
        <f t="shared" si="5"/>
        <v>944.34280436905249</v>
      </c>
      <c r="K57" s="13">
        <f t="shared" si="26"/>
        <v>0.75719096130110364</v>
      </c>
      <c r="L57" s="13">
        <f t="shared" si="28"/>
        <v>1.0858846635468331</v>
      </c>
      <c r="M57" s="13">
        <f t="shared" si="27"/>
        <v>50.7</v>
      </c>
      <c r="N57" s="13">
        <f t="shared" si="8"/>
        <v>0.84316321818665396</v>
      </c>
      <c r="O57" s="16">
        <f t="shared" si="35"/>
        <v>5.683678181334606E-2</v>
      </c>
      <c r="P57" s="16">
        <f t="shared" si="32"/>
        <v>0.15867670966544042</v>
      </c>
      <c r="Q57" s="16">
        <f t="shared" si="33"/>
        <v>0.14684843424395741</v>
      </c>
      <c r="R57" s="16">
        <f t="shared" si="34"/>
        <v>-5.7000000000000242</v>
      </c>
      <c r="S57" s="16">
        <f t="shared" si="11"/>
        <v>0.14280903869889638</v>
      </c>
      <c r="T57" s="16">
        <f t="shared" si="12"/>
        <v>0.18690754258895237</v>
      </c>
      <c r="U57" s="6">
        <f t="shared" si="13"/>
        <v>4.4098503890055984E-2</v>
      </c>
      <c r="V57" s="35">
        <f t="shared" si="14"/>
        <v>0.70710678118654757</v>
      </c>
      <c r="W57" s="4">
        <f t="shared" si="15"/>
        <v>6.4913199408589266</v>
      </c>
      <c r="X57" s="4">
        <f t="shared" si="16"/>
        <v>8.4957973904069259</v>
      </c>
    </row>
    <row r="58" spans="1:24">
      <c r="A58" s="7">
        <v>0.9</v>
      </c>
      <c r="B58" s="7">
        <v>0.9</v>
      </c>
      <c r="C58" s="8">
        <f t="shared" si="29"/>
        <v>1.2727922061357855</v>
      </c>
      <c r="D58" s="9">
        <f t="shared" si="30"/>
        <v>44.999999999999979</v>
      </c>
      <c r="E58" s="7">
        <v>90</v>
      </c>
      <c r="F58" s="9">
        <f t="shared" si="31"/>
        <v>45.000000000000021</v>
      </c>
      <c r="G58" s="10">
        <v>822.16526594311813</v>
      </c>
      <c r="H58" s="10">
        <v>1255.8599704382909</v>
      </c>
      <c r="I58" s="10">
        <v>49.4</v>
      </c>
      <c r="J58" s="43">
        <f t="shared" si="5"/>
        <v>953.55094924557648</v>
      </c>
      <c r="K58" s="8">
        <f t="shared" si="26"/>
        <v>0.73407613030635532</v>
      </c>
      <c r="L58" s="8">
        <f t="shared" si="28"/>
        <v>1.1213035450341882</v>
      </c>
      <c r="M58" s="8">
        <f t="shared" si="27"/>
        <v>49.4</v>
      </c>
      <c r="N58" s="13">
        <f t="shared" si="8"/>
        <v>0.85138477611212182</v>
      </c>
      <c r="O58" s="11">
        <f t="shared" si="35"/>
        <v>4.8615223887878201E-2</v>
      </c>
      <c r="P58" s="11">
        <f t="shared" si="32"/>
        <v>0.18435985521516077</v>
      </c>
      <c r="Q58" s="11">
        <f t="shared" si="33"/>
        <v>0.11902073281978914</v>
      </c>
      <c r="R58" s="11">
        <f t="shared" si="34"/>
        <v>-4.4000000000000199</v>
      </c>
      <c r="S58" s="16">
        <f t="shared" si="11"/>
        <v>0.1659238696936447</v>
      </c>
      <c r="T58" s="16">
        <f t="shared" si="12"/>
        <v>0.15148866110159731</v>
      </c>
      <c r="U58" s="6">
        <f t="shared" si="13"/>
        <v>1.4435208592047388E-2</v>
      </c>
      <c r="V58" s="35">
        <f t="shared" si="14"/>
        <v>0.70710678118654757</v>
      </c>
      <c r="W58" s="4">
        <f t="shared" si="15"/>
        <v>7.5419940769838494</v>
      </c>
      <c r="X58" s="4">
        <f t="shared" si="16"/>
        <v>6.8858482318907868</v>
      </c>
    </row>
    <row r="59" spans="1:24">
      <c r="K59" s="38">
        <f>MIN(K22:K58)</f>
        <v>0.24598214285714284</v>
      </c>
      <c r="L59" s="38">
        <f>MIN(L22:L58)</f>
        <v>0.25102743821057893</v>
      </c>
      <c r="M59"/>
      <c r="N59" s="38">
        <f>MIN(N22:N58)</f>
        <v>0.53807976094127408</v>
      </c>
    </row>
    <row r="60" spans="1:24">
      <c r="K60" s="38">
        <f>MAX(K22:K58)</f>
        <v>0.79917747330530131</v>
      </c>
      <c r="L60" s="38">
        <f>MAX(L22:L58)</f>
        <v>1.1213035450341882</v>
      </c>
      <c r="M60"/>
      <c r="N60" s="38">
        <f>MAX(N22:N58)</f>
        <v>0.8550396227796877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523-3F01-479B-AA7E-B81EF208F72C}">
  <dimension ref="A1:T31"/>
  <sheetViews>
    <sheetView workbookViewId="0">
      <selection activeCell="P3" sqref="P3"/>
    </sheetView>
  </sheetViews>
  <sheetFormatPr defaultRowHeight="15"/>
  <cols>
    <col min="1" max="3" width="15.625" bestFit="1" customWidth="1"/>
    <col min="4" max="6" width="15.5" bestFit="1" customWidth="1"/>
    <col min="7" max="8" width="11.375" bestFit="1" customWidth="1"/>
    <col min="9" max="9" width="12.625" bestFit="1" customWidth="1"/>
    <col min="10" max="10" width="11.375" bestFit="1" customWidth="1"/>
    <col min="11" max="12" width="12.75" bestFit="1" customWidth="1"/>
    <col min="13" max="13" width="12.625" bestFit="1" customWidth="1"/>
    <col min="14" max="14" width="12.75" bestFit="1" customWidth="1"/>
    <col min="19" max="20" width="18.875" bestFit="1" customWidth="1"/>
  </cols>
  <sheetData>
    <row r="1" spans="1:20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0">
      <c r="A2" s="21">
        <v>0.76</v>
      </c>
      <c r="B2" s="21">
        <v>0.9</v>
      </c>
      <c r="C2" s="13">
        <f t="shared" ref="C2" si="0">SQRT(POWER(A2, 2) + POWER(B2, 2) - 2 * A2 * B2 * COS(RADIANS(E2)))</f>
        <v>0.82645502813102045</v>
      </c>
      <c r="D2" s="14">
        <f>180-E2-F2</f>
        <v>52.02159165951339</v>
      </c>
      <c r="E2" s="21">
        <v>59</v>
      </c>
      <c r="F2" s="14">
        <f t="shared" ref="F2" si="1">DEGREES(ACOS((POWER(C2, 2) + POWER(A2, 2) - POWER(B2, 2)) / (2 * C2 *A2)))</f>
        <v>68.97840834048661</v>
      </c>
      <c r="G2">
        <v>1687.7</v>
      </c>
      <c r="H2">
        <v>1547.3</v>
      </c>
      <c r="I2" s="42">
        <v>58.6</v>
      </c>
      <c r="J2" s="21">
        <v>328.9</v>
      </c>
      <c r="K2" s="13">
        <f>G2/2.24/1000</f>
        <v>0.75343749999999998</v>
      </c>
      <c r="L2" s="13">
        <f>H2/2.24/1000</f>
        <v>0.6907589285714284</v>
      </c>
      <c r="M2" s="13">
        <f>I2</f>
        <v>58.6</v>
      </c>
      <c r="N2" s="13">
        <f>J2/1.12/1000</f>
        <v>0.29366071428571422</v>
      </c>
      <c r="O2" s="16">
        <f>A2-N2</f>
        <v>0.46633928571428579</v>
      </c>
      <c r="P2" s="41">
        <f>(B2-K2)/B2</f>
        <v>0.16284722222222225</v>
      </c>
      <c r="Q2" s="41">
        <f>(C2-L2)/C2</f>
        <v>0.16419054266807576</v>
      </c>
      <c r="R2" s="16">
        <f t="shared" ref="R2" si="2">D2-M2</f>
        <v>-6.5784083404866109</v>
      </c>
      <c r="S2" s="16">
        <f>(B2-K2)</f>
        <v>0.14656250000000004</v>
      </c>
      <c r="T2" s="16">
        <f>(C2-L2)</f>
        <v>0.13569609955959205</v>
      </c>
    </row>
    <row r="4" spans="1:20">
      <c r="A4" t="s">
        <v>62</v>
      </c>
    </row>
    <row r="5" spans="1:20">
      <c r="A5" t="s">
        <v>31</v>
      </c>
      <c r="B5" s="36">
        <v>0.46936528115052928</v>
      </c>
    </row>
    <row r="6" spans="1:20">
      <c r="A6" t="s">
        <v>8</v>
      </c>
      <c r="B6" s="36">
        <v>-0.53727132773938913</v>
      </c>
      <c r="C6" s="39">
        <v>0.76</v>
      </c>
      <c r="D6" s="38">
        <f>B6*C6</f>
        <v>-0.40832620908193573</v>
      </c>
    </row>
    <row r="7" spans="1:20">
      <c r="A7" t="s">
        <v>10</v>
      </c>
      <c r="B7" s="36">
        <v>-0.20489408852934382</v>
      </c>
      <c r="C7" s="39">
        <v>0.9</v>
      </c>
      <c r="D7" s="38">
        <f t="shared" ref="D7:D11" si="3">B7*C7</f>
        <v>-0.18440467967640944</v>
      </c>
    </row>
    <row r="8" spans="1:20">
      <c r="A8" t="s">
        <v>14</v>
      </c>
      <c r="B8" s="36">
        <v>0.22144583118563488</v>
      </c>
      <c r="C8" s="3">
        <f>SQRT(POWER(C6, 2) + POWER(C7, 2) - 2 * C6 * C7 * COS(RADIANS(C10)))</f>
        <v>0.82645502813102045</v>
      </c>
      <c r="D8" s="38">
        <f t="shared" si="3"/>
        <v>0.18301502064202108</v>
      </c>
    </row>
    <row r="9" spans="1:20">
      <c r="A9" t="s">
        <v>46</v>
      </c>
      <c r="B9" s="36">
        <v>-4.2295197171095435E-4</v>
      </c>
      <c r="C9" s="4">
        <f>180-C10-C11</f>
        <v>52.02159165951339</v>
      </c>
      <c r="D9" s="38">
        <f t="shared" si="3"/>
        <v>-2.2002634763933326E-2</v>
      </c>
    </row>
    <row r="10" spans="1:20">
      <c r="A10" t="s">
        <v>12</v>
      </c>
      <c r="B10" s="36">
        <v>0</v>
      </c>
      <c r="C10" s="39">
        <v>59</v>
      </c>
      <c r="D10" s="38">
        <f t="shared" si="3"/>
        <v>0</v>
      </c>
    </row>
    <row r="11" spans="1:20" ht="15.6" thickBot="1">
      <c r="A11" s="26" t="s">
        <v>44</v>
      </c>
      <c r="B11" s="37">
        <v>2.4931860293636882E-3</v>
      </c>
      <c r="C11" s="4">
        <f>DEGREES(ACOS((POWER(C8, 2) + POWER(C6, 2) - POWER(C7, 2)) / (2 * C8 *C6)))</f>
        <v>68.97840834048661</v>
      </c>
      <c r="D11" s="38">
        <f t="shared" si="3"/>
        <v>0.17197600400224491</v>
      </c>
    </row>
    <row r="12" spans="1:20">
      <c r="D12" s="40">
        <f>SUM(B5,D6:D11)</f>
        <v>0.20962278227251677</v>
      </c>
    </row>
    <row r="13" spans="1:20">
      <c r="A13" t="s">
        <v>63</v>
      </c>
      <c r="D13" s="38"/>
    </row>
    <row r="14" spans="1:20">
      <c r="A14" t="s">
        <v>31</v>
      </c>
      <c r="B14" s="36">
        <v>7.4331784913373444E-2</v>
      </c>
      <c r="C14" s="39"/>
      <c r="D14" s="38"/>
    </row>
    <row r="15" spans="1:20">
      <c r="A15" t="s">
        <v>8</v>
      </c>
      <c r="B15" s="36">
        <v>-0.47727231926343339</v>
      </c>
      <c r="C15" s="39">
        <v>0.76</v>
      </c>
      <c r="D15" s="38">
        <f>B15*C15</f>
        <v>-0.36272696264020937</v>
      </c>
    </row>
    <row r="16" spans="1:20">
      <c r="A16" t="s">
        <v>10</v>
      </c>
      <c r="B16" s="36">
        <v>-0.32258711805670759</v>
      </c>
      <c r="C16" s="39">
        <v>0.9</v>
      </c>
      <c r="D16" s="38">
        <f t="shared" ref="D16:D20" si="4">B16*C16</f>
        <v>-0.29032840625103684</v>
      </c>
    </row>
    <row r="17" spans="1:4">
      <c r="A17" t="s">
        <v>14</v>
      </c>
      <c r="B17" s="36">
        <v>0.36814753346320883</v>
      </c>
      <c r="C17" s="3">
        <f>SQRT(POWER(C15, 2) + POWER(C16, 2) - 2 * C15 * C16 * COS(RADIANS(C19)))</f>
        <v>0.82645502813102045</v>
      </c>
      <c r="D17" s="38">
        <f t="shared" si="4"/>
        <v>0.30425738012470205</v>
      </c>
    </row>
    <row r="18" spans="1:4">
      <c r="A18" t="s">
        <v>46</v>
      </c>
      <c r="B18" s="36">
        <v>1.3230154205966123E-3</v>
      </c>
      <c r="C18" s="4">
        <f>180-C19-C20</f>
        <v>52.02159165951339</v>
      </c>
      <c r="D18" s="38">
        <f t="shared" si="4"/>
        <v>6.8825367969516327E-2</v>
      </c>
    </row>
    <row r="19" spans="1:4">
      <c r="A19" t="s">
        <v>12</v>
      </c>
      <c r="B19" s="36">
        <v>0</v>
      </c>
      <c r="C19" s="39">
        <v>59</v>
      </c>
      <c r="D19" s="38">
        <f t="shared" si="4"/>
        <v>0</v>
      </c>
    </row>
    <row r="20" spans="1:4" ht="15.6" thickBot="1">
      <c r="A20" s="26" t="s">
        <v>44</v>
      </c>
      <c r="B20" s="37">
        <v>6.2653899338290225E-3</v>
      </c>
      <c r="C20" s="4">
        <f>DEGREES(ACOS((POWER(C17, 2) + POWER(C15, 2) - POWER(C16, 2)) / (2 * C17 *C15)))</f>
        <v>68.97840834048661</v>
      </c>
      <c r="D20" s="38">
        <f t="shared" si="4"/>
        <v>0.43217662526803269</v>
      </c>
    </row>
    <row r="21" spans="1:4">
      <c r="D21" s="40">
        <f>SUM(B14,D15:D20)</f>
        <v>0.22653578938437824</v>
      </c>
    </row>
    <row r="22" spans="1:4">
      <c r="D22" s="38"/>
    </row>
    <row r="23" spans="1:4">
      <c r="A23" t="s">
        <v>64</v>
      </c>
      <c r="D23" s="38"/>
    </row>
    <row r="24" spans="1:4">
      <c r="A24" t="s">
        <v>31</v>
      </c>
      <c r="B24" s="36">
        <v>21.142755419473573</v>
      </c>
      <c r="D24" s="38"/>
    </row>
    <row r="25" spans="1:4">
      <c r="A25" t="s">
        <v>8</v>
      </c>
      <c r="B25" s="36">
        <v>-12.890954222189889</v>
      </c>
      <c r="C25" s="39">
        <v>0.76</v>
      </c>
      <c r="D25" s="38">
        <f>B25*C25</f>
        <v>-9.7971252088643155</v>
      </c>
    </row>
    <row r="26" spans="1:4">
      <c r="A26" t="s">
        <v>10</v>
      </c>
      <c r="B26" s="36">
        <v>-76.192832429837324</v>
      </c>
      <c r="C26" s="39">
        <v>0.9</v>
      </c>
      <c r="D26" s="38">
        <f t="shared" ref="D26:D30" si="5">B26*C26</f>
        <v>-68.573549186853597</v>
      </c>
    </row>
    <row r="27" spans="1:4">
      <c r="A27" t="s">
        <v>14</v>
      </c>
      <c r="B27" s="36">
        <v>21.070924014206234</v>
      </c>
      <c r="C27" s="3">
        <f>SQRT(POWER(C25, 2) + POWER(C26, 2) - 2 * C25 * C26 * COS(RADIANS(C29)))</f>
        <v>0.82645502813102045</v>
      </c>
      <c r="D27" s="38">
        <f t="shared" si="5"/>
        <v>17.414171098907406</v>
      </c>
    </row>
    <row r="28" spans="1:4">
      <c r="A28" t="s">
        <v>46</v>
      </c>
      <c r="B28" s="36">
        <v>0.9928428217695674</v>
      </c>
      <c r="C28" s="4">
        <f>180-C29-C30</f>
        <v>52.02159165951339</v>
      </c>
      <c r="D28" s="38">
        <f t="shared" si="5"/>
        <v>51.649263856175466</v>
      </c>
    </row>
    <row r="29" spans="1:4">
      <c r="A29" t="s">
        <v>12</v>
      </c>
      <c r="B29" s="36">
        <v>0</v>
      </c>
      <c r="C29" s="39">
        <v>59</v>
      </c>
      <c r="D29" s="38">
        <f t="shared" si="5"/>
        <v>0</v>
      </c>
    </row>
    <row r="30" spans="1:4" ht="15.6" thickBot="1">
      <c r="A30" s="26" t="s">
        <v>44</v>
      </c>
      <c r="B30" s="37">
        <v>0.66305183696717407</v>
      </c>
      <c r="C30" s="4">
        <f>DEGREES(ACOS((POWER(C27, 2) + POWER(C25, 2) - POWER(C26, 2)) / (2 * C27 *C25)))</f>
        <v>68.97840834048661</v>
      </c>
      <c r="D30" s="38">
        <f t="shared" si="5"/>
        <v>45.736260361231487</v>
      </c>
    </row>
    <row r="31" spans="1:4">
      <c r="D31" s="40">
        <f>SUM(B24,D25:D30)</f>
        <v>57.571776340070016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ADB4-1E6B-4B0C-A4A4-EECE6573F0D5}">
  <dimension ref="A1:I86"/>
  <sheetViews>
    <sheetView topLeftCell="A3" workbookViewId="0">
      <selection activeCell="A17" sqref="A17:B23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0.94171044949977623</v>
      </c>
    </row>
    <row r="5" spans="1:9">
      <c r="A5" t="s">
        <v>23</v>
      </c>
      <c r="B5">
        <v>0.8868185706970706</v>
      </c>
    </row>
    <row r="6" spans="1:9">
      <c r="A6" t="s">
        <v>24</v>
      </c>
      <c r="B6">
        <v>0.85611450900070496</v>
      </c>
    </row>
    <row r="7" spans="1:9">
      <c r="A7" t="s">
        <v>25</v>
      </c>
      <c r="B7">
        <v>5.825807561991337E-2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1.3562571816098892</v>
      </c>
      <c r="D12">
        <v>0.22604286360164819</v>
      </c>
      <c r="E12">
        <v>79.920791571731755</v>
      </c>
      <c r="F12">
        <v>6.9140575456474226E-24</v>
      </c>
    </row>
    <row r="13" spans="1:9">
      <c r="A13" t="s">
        <v>29</v>
      </c>
      <c r="B13">
        <v>51</v>
      </c>
      <c r="C13">
        <v>0.1730941721217128</v>
      </c>
      <c r="D13">
        <v>3.3940033749355449E-3</v>
      </c>
    </row>
    <row r="14" spans="1:9" ht="15.6" thickBot="1">
      <c r="A14" s="26" t="s">
        <v>30</v>
      </c>
      <c r="B14" s="26">
        <v>57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0.46936528115052928</v>
      </c>
      <c r="C17">
        <v>0.10758125897290534</v>
      </c>
      <c r="D17">
        <v>4.3628907639827892</v>
      </c>
      <c r="E17">
        <v>6.261411665120216E-5</v>
      </c>
      <c r="F17">
        <v>0.25338689164637973</v>
      </c>
      <c r="G17">
        <v>0.68534367065467883</v>
      </c>
      <c r="H17">
        <v>0.25338689164637973</v>
      </c>
      <c r="I17">
        <v>0.68534367065467883</v>
      </c>
    </row>
    <row r="18" spans="1:9">
      <c r="A18" t="s">
        <v>8</v>
      </c>
      <c r="B18">
        <v>-0.53727132773938913</v>
      </c>
      <c r="C18">
        <v>7.7083199474040756E-2</v>
      </c>
      <c r="D18">
        <v>-6.9700185177228606</v>
      </c>
      <c r="E18">
        <v>6.0698073407770318E-9</v>
      </c>
      <c r="F18">
        <v>-0.69202230796749142</v>
      </c>
      <c r="G18">
        <v>-0.38252034751128683</v>
      </c>
      <c r="H18">
        <v>-0.69202230796749142</v>
      </c>
      <c r="I18">
        <v>-0.38252034751128683</v>
      </c>
    </row>
    <row r="19" spans="1:9">
      <c r="A19" t="s">
        <v>10</v>
      </c>
      <c r="B19">
        <v>-0.20489408852934382</v>
      </c>
      <c r="C19">
        <v>8.0901790035716237E-2</v>
      </c>
      <c r="D19">
        <v>-2.5326273799243242</v>
      </c>
      <c r="E19">
        <v>1.444102777975686E-2</v>
      </c>
      <c r="F19">
        <v>-0.36731120919454707</v>
      </c>
      <c r="G19">
        <v>-4.2476967864140569E-2</v>
      </c>
      <c r="H19">
        <v>-0.36731120919454707</v>
      </c>
      <c r="I19">
        <v>-4.2476967864140569E-2</v>
      </c>
    </row>
    <row r="20" spans="1:9">
      <c r="A20" t="s">
        <v>14</v>
      </c>
      <c r="B20">
        <v>0.22144583118563488</v>
      </c>
      <c r="C20">
        <v>8.1917987271930129E-2</v>
      </c>
      <c r="D20">
        <v>2.70326259909849</v>
      </c>
      <c r="E20">
        <v>9.3046465592233861E-3</v>
      </c>
      <c r="F20">
        <v>5.6988609441568805E-2</v>
      </c>
      <c r="G20">
        <v>0.38590305292970095</v>
      </c>
      <c r="H20">
        <v>5.6988609441568805E-2</v>
      </c>
      <c r="I20">
        <v>0.38590305292970095</v>
      </c>
    </row>
    <row r="21" spans="1:9">
      <c r="A21" t="s">
        <v>46</v>
      </c>
      <c r="B21">
        <v>-4.2295197171095435E-4</v>
      </c>
      <c r="C21">
        <v>8.7695220825282792E-4</v>
      </c>
      <c r="D21">
        <v>-0.48229763005399268</v>
      </c>
      <c r="E21">
        <v>0.63165810604241623</v>
      </c>
      <c r="F21">
        <v>-2.1835069923419638E-3</v>
      </c>
      <c r="G21">
        <v>1.3376030489200552E-3</v>
      </c>
      <c r="H21">
        <v>-2.1835069923419638E-3</v>
      </c>
      <c r="I21">
        <v>1.3376030489200552E-3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2.4931860293636882E-3</v>
      </c>
      <c r="C23" s="26">
        <v>8.7378466787966136E-4</v>
      </c>
      <c r="D23" s="26">
        <v>2.8533185818122555</v>
      </c>
      <c r="E23" s="26" t="e">
        <v>#NUM!</v>
      </c>
      <c r="F23" s="26">
        <v>7.3899011137766807E-4</v>
      </c>
      <c r="G23" s="26">
        <v>4.2473819473497088E-3</v>
      </c>
      <c r="H23" s="26">
        <v>7.3899011137766807E-4</v>
      </c>
      <c r="I23" s="26">
        <v>4.2473819473497088E-3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54</v>
      </c>
      <c r="C29" s="27" t="s">
        <v>29</v>
      </c>
      <c r="D29" s="27" t="s">
        <v>55</v>
      </c>
      <c r="F29" s="27" t="s">
        <v>52</v>
      </c>
      <c r="G29" s="27" t="s">
        <v>17</v>
      </c>
    </row>
    <row r="30" spans="1:9">
      <c r="A30">
        <v>1</v>
      </c>
      <c r="B30">
        <v>0.43637184973550452</v>
      </c>
      <c r="C30">
        <v>-3.9348040211694912E-2</v>
      </c>
      <c r="D30">
        <v>-0.71403468961127148</v>
      </c>
      <c r="F30">
        <v>0.8771929824561403</v>
      </c>
      <c r="G30">
        <v>6.1607142857142971E-2</v>
      </c>
    </row>
    <row r="31" spans="1:9">
      <c r="A31">
        <v>2</v>
      </c>
      <c r="B31">
        <v>0.43736344908476388</v>
      </c>
      <c r="C31">
        <v>4.005598534283783E-3</v>
      </c>
      <c r="D31">
        <v>7.2688151449143923E-2</v>
      </c>
      <c r="F31">
        <v>2.6315789473684208</v>
      </c>
      <c r="G31">
        <v>8.9285714285714343E-2</v>
      </c>
    </row>
    <row r="32" spans="1:9">
      <c r="A32">
        <v>3</v>
      </c>
      <c r="B32">
        <v>0.4338276982023947</v>
      </c>
      <c r="C32">
        <v>9.6529444654748164E-2</v>
      </c>
      <c r="D32">
        <v>1.7516850059514708</v>
      </c>
      <c r="F32">
        <v>4.3859649122807012</v>
      </c>
      <c r="G32">
        <v>9.0051872897541171E-2</v>
      </c>
    </row>
    <row r="33" spans="1:7">
      <c r="A33">
        <v>4</v>
      </c>
      <c r="B33">
        <v>0.57217106797200779</v>
      </c>
      <c r="C33">
        <v>6.4584884408944609E-2</v>
      </c>
      <c r="D33">
        <v>1.1719985962303199</v>
      </c>
      <c r="F33">
        <v>6.140350877192982</v>
      </c>
      <c r="G33">
        <v>9.0078602339485808E-2</v>
      </c>
    </row>
    <row r="34" spans="1:7">
      <c r="A34">
        <v>5</v>
      </c>
      <c r="B34">
        <v>0.51201224242386167</v>
      </c>
      <c r="C34">
        <v>1.8493709957090654E-2</v>
      </c>
      <c r="D34">
        <v>0.33559868237217338</v>
      </c>
      <c r="F34">
        <v>7.8947368421052628</v>
      </c>
      <c r="G34">
        <v>0.10086173798414921</v>
      </c>
    </row>
    <row r="35" spans="1:7">
      <c r="A35">
        <v>6</v>
      </c>
      <c r="B35">
        <v>0.48071719667537505</v>
      </c>
      <c r="C35">
        <v>8.981851761033921E-2</v>
      </c>
      <c r="D35">
        <v>1.629904234066059</v>
      </c>
      <c r="F35">
        <v>9.6491228070175428</v>
      </c>
      <c r="G35">
        <v>0.10089285714285727</v>
      </c>
    </row>
    <row r="36" spans="1:7">
      <c r="A36">
        <v>7</v>
      </c>
      <c r="B36">
        <v>0.48071719667537505</v>
      </c>
      <c r="C36">
        <v>3.5354231896053578E-2</v>
      </c>
      <c r="D36">
        <v>0.64156049100611978</v>
      </c>
      <c r="F36">
        <v>11.403508771929824</v>
      </c>
      <c r="G36">
        <v>0.11202502966077635</v>
      </c>
    </row>
    <row r="37" spans="1:7">
      <c r="A37">
        <v>8</v>
      </c>
      <c r="B37">
        <v>0.60490999667136125</v>
      </c>
      <c r="C37">
        <v>0.10253047951911498</v>
      </c>
      <c r="D37">
        <v>1.8605836205628035</v>
      </c>
      <c r="F37">
        <v>13.157894736842104</v>
      </c>
      <c r="G37">
        <v>0.11692416541435621</v>
      </c>
    </row>
    <row r="38" spans="1:7">
      <c r="A38">
        <v>9</v>
      </c>
      <c r="B38">
        <v>0.54301120819749471</v>
      </c>
      <c r="C38">
        <v>5.6591966405679983E-2</v>
      </c>
      <c r="D38">
        <v>1.0269539969353054</v>
      </c>
      <c r="F38">
        <v>14.912280701754385</v>
      </c>
      <c r="G38">
        <v>0.11700261167891221</v>
      </c>
    </row>
    <row r="39" spans="1:7">
      <c r="A39">
        <v>10</v>
      </c>
      <c r="B39">
        <v>0.54301120819749471</v>
      </c>
      <c r="C39">
        <v>4.895307751679101E-2</v>
      </c>
      <c r="D39">
        <v>0.88833383625112283</v>
      </c>
      <c r="F39">
        <v>16.666666666666664</v>
      </c>
      <c r="G39">
        <v>0.11782391681792589</v>
      </c>
    </row>
    <row r="40" spans="1:7">
      <c r="A40">
        <v>11</v>
      </c>
      <c r="B40">
        <v>0.50448905245337139</v>
      </c>
      <c r="C40">
        <v>0.11515380468948577</v>
      </c>
      <c r="D40">
        <v>2.0896545481463553</v>
      </c>
      <c r="F40">
        <v>18.421052631578945</v>
      </c>
      <c r="G40">
        <v>0.12118893985259621</v>
      </c>
    </row>
    <row r="41" spans="1:7">
      <c r="A41">
        <v>12</v>
      </c>
      <c r="B41">
        <v>0.17381023644152435</v>
      </c>
      <c r="C41">
        <v>-7.2917379298667082E-2</v>
      </c>
      <c r="D41">
        <v>-1.3232053747702619</v>
      </c>
      <c r="F41">
        <v>20.175438596491226</v>
      </c>
      <c r="G41">
        <v>0.12268267034416191</v>
      </c>
    </row>
    <row r="42" spans="1:7">
      <c r="A42">
        <v>13</v>
      </c>
      <c r="B42">
        <v>0.23733079059636941</v>
      </c>
      <c r="C42">
        <v>-9.7747457263036075E-2</v>
      </c>
      <c r="D42">
        <v>-1.7737878413156316</v>
      </c>
      <c r="F42">
        <v>21.929824561403507</v>
      </c>
      <c r="G42">
        <v>0.12364489478192853</v>
      </c>
    </row>
    <row r="43" spans="1:7">
      <c r="A43">
        <v>14</v>
      </c>
      <c r="B43">
        <v>0.27348631529158324</v>
      </c>
      <c r="C43">
        <v>-1.9022029577297483E-2</v>
      </c>
      <c r="D43">
        <v>-0.34518590791124371</v>
      </c>
      <c r="F43">
        <v>23.684210526315788</v>
      </c>
      <c r="G43">
        <v>0.1249591280756642</v>
      </c>
    </row>
    <row r="44" spans="1:7">
      <c r="A44">
        <v>15</v>
      </c>
      <c r="B44">
        <v>0.2481108639965246</v>
      </c>
      <c r="C44">
        <v>-5.4736257476309114E-2</v>
      </c>
      <c r="D44">
        <v>-0.99327911650254708</v>
      </c>
      <c r="F44">
        <v>25.438596491228068</v>
      </c>
      <c r="G44">
        <v>0.13264311380827298</v>
      </c>
    </row>
    <row r="45" spans="1:7">
      <c r="A45">
        <v>16</v>
      </c>
      <c r="B45">
        <v>0.2481108639965246</v>
      </c>
      <c r="C45">
        <v>-5.3193134234674921E-2</v>
      </c>
      <c r="D45">
        <v>-0.96527661576949342</v>
      </c>
      <c r="F45">
        <v>27.192982456140349</v>
      </c>
      <c r="G45">
        <v>0.13958333333333334</v>
      </c>
    </row>
    <row r="46" spans="1:7">
      <c r="A46">
        <v>17</v>
      </c>
      <c r="B46">
        <v>0.28114757355983444</v>
      </c>
      <c r="C46">
        <v>8.6238907495030936E-3</v>
      </c>
      <c r="D46">
        <v>0.15649463407666148</v>
      </c>
      <c r="F46">
        <v>28.94736842105263</v>
      </c>
      <c r="G46">
        <v>0.14094532827403139</v>
      </c>
    </row>
    <row r="47" spans="1:7">
      <c r="A47">
        <v>18</v>
      </c>
      <c r="B47">
        <v>0.28114757355983444</v>
      </c>
      <c r="C47">
        <v>-6.7438544023100733E-2</v>
      </c>
      <c r="D47">
        <v>-1.2237829276960728</v>
      </c>
      <c r="F47">
        <v>30.701754385964911</v>
      </c>
      <c r="G47">
        <v>0.15678170211611872</v>
      </c>
    </row>
    <row r="48" spans="1:7">
      <c r="A48">
        <v>19</v>
      </c>
      <c r="B48">
        <v>0.28114757355983444</v>
      </c>
      <c r="C48">
        <v>-7.9711204989678902E-2</v>
      </c>
      <c r="D48">
        <v>-1.4464904784871404</v>
      </c>
      <c r="F48">
        <v>32.456140350877192</v>
      </c>
      <c r="G48">
        <v>0.15867670966544042</v>
      </c>
    </row>
    <row r="49" spans="1:7">
      <c r="A49">
        <v>20</v>
      </c>
      <c r="B49">
        <v>0.3051295826598871</v>
      </c>
      <c r="C49">
        <v>8.8009727696730655E-4</v>
      </c>
      <c r="D49">
        <v>1.5970807760847486E-2</v>
      </c>
      <c r="F49">
        <v>34.210526315789465</v>
      </c>
      <c r="G49">
        <v>0.16313552957338034</v>
      </c>
    </row>
    <row r="50" spans="1:7">
      <c r="A50">
        <v>21</v>
      </c>
      <c r="B50">
        <v>0.3051295826598871</v>
      </c>
      <c r="C50">
        <v>-7.7939040075620969E-2</v>
      </c>
      <c r="D50">
        <v>-1.4143316411589919</v>
      </c>
      <c r="F50">
        <v>35.964912280701746</v>
      </c>
      <c r="G50">
        <v>0.18005952380952384</v>
      </c>
    </row>
    <row r="51" spans="1:7">
      <c r="A51">
        <v>22</v>
      </c>
      <c r="B51">
        <v>0.3051295826598871</v>
      </c>
      <c r="C51">
        <v>-3.7007657171839736E-2</v>
      </c>
      <c r="D51">
        <v>-0.6715646029578124</v>
      </c>
      <c r="F51">
        <v>37.719298245614027</v>
      </c>
      <c r="G51">
        <v>0.18274629630683206</v>
      </c>
    </row>
    <row r="52" spans="1:7">
      <c r="A52">
        <v>23</v>
      </c>
      <c r="B52">
        <v>0.3322781425458049</v>
      </c>
      <c r="C52">
        <v>-1.9184088220430162E-2</v>
      </c>
      <c r="D52">
        <v>-0.3481267276401428</v>
      </c>
      <c r="F52">
        <v>39.473684210526308</v>
      </c>
      <c r="G52">
        <v>0.18288294251160697</v>
      </c>
    </row>
    <row r="53" spans="1:7">
      <c r="A53">
        <v>24</v>
      </c>
      <c r="B53">
        <v>0.3322781425458049</v>
      </c>
      <c r="C53">
        <v>-1.77730499252019E-2</v>
      </c>
      <c r="D53">
        <v>-0.322521124775493</v>
      </c>
      <c r="F53">
        <v>41.228070175438589</v>
      </c>
      <c r="G53">
        <v>0.18435985521516077</v>
      </c>
    </row>
    <row r="54" spans="1:7">
      <c r="A54">
        <v>25</v>
      </c>
      <c r="B54">
        <v>0.3322781425458049</v>
      </c>
      <c r="C54">
        <v>-5.7537378454390331E-2</v>
      </c>
      <c r="D54">
        <v>-1.044110048294504</v>
      </c>
      <c r="F54">
        <v>42.98245614035087</v>
      </c>
      <c r="G54">
        <v>0.18848864380072042</v>
      </c>
    </row>
    <row r="55" spans="1:7">
      <c r="A55">
        <v>26</v>
      </c>
      <c r="B55">
        <v>0.3322781425458049</v>
      </c>
      <c r="C55">
        <v>-3.0268916485515385E-2</v>
      </c>
      <c r="D55">
        <v>-0.54927910694725546</v>
      </c>
      <c r="F55">
        <v>44.73684210526315</v>
      </c>
      <c r="G55">
        <v>0.19337460652021549</v>
      </c>
    </row>
    <row r="56" spans="1:7">
      <c r="A56">
        <v>27</v>
      </c>
      <c r="B56">
        <v>0.3322781425458049</v>
      </c>
      <c r="C56">
        <v>-2.548038632748939E-2</v>
      </c>
      <c r="D56">
        <v>-0.46238337779060823</v>
      </c>
      <c r="F56">
        <v>46.491228070175431</v>
      </c>
      <c r="G56">
        <v>0.19491772976184968</v>
      </c>
    </row>
    <row r="57" spans="1:7">
      <c r="A57">
        <v>28</v>
      </c>
      <c r="B57">
        <v>0.3322781425458049</v>
      </c>
      <c r="C57">
        <v>-5.8331580972094288E-2</v>
      </c>
      <c r="D57">
        <v>-1.0585221548483823</v>
      </c>
      <c r="F57">
        <v>48.245614035087712</v>
      </c>
      <c r="G57">
        <v>0.20143636857015554</v>
      </c>
    </row>
    <row r="58" spans="1:7">
      <c r="A58">
        <v>29</v>
      </c>
      <c r="B58">
        <v>0.31829652568161032</v>
      </c>
      <c r="C58">
        <v>-5.1185716552038407E-2</v>
      </c>
      <c r="D58">
        <v>-0.92884873132518708</v>
      </c>
      <c r="F58">
        <v>49.999999999999993</v>
      </c>
      <c r="G58">
        <v>0.21370902953673371</v>
      </c>
    </row>
    <row r="59" spans="1:7">
      <c r="A59">
        <v>30</v>
      </c>
      <c r="B59">
        <v>0.31829652568161032</v>
      </c>
      <c r="C59">
        <v>-9.4473731800794741E-2</v>
      </c>
      <c r="D59">
        <v>-1.7143807264573612</v>
      </c>
      <c r="F59">
        <v>51.754385964912274</v>
      </c>
      <c r="G59">
        <v>0.22382279388081558</v>
      </c>
    </row>
    <row r="60" spans="1:7">
      <c r="A60">
        <v>31</v>
      </c>
      <c r="B60">
        <v>0.31829652568161032</v>
      </c>
      <c r="C60">
        <v>-8.7739446941441368E-2</v>
      </c>
      <c r="D60">
        <v>-1.5921760887312593</v>
      </c>
      <c r="F60">
        <v>53.508771929824555</v>
      </c>
      <c r="G60">
        <v>0.22501717760090295</v>
      </c>
    </row>
    <row r="61" spans="1:7">
      <c r="A61">
        <v>32</v>
      </c>
      <c r="B61">
        <v>0.31829652568161032</v>
      </c>
      <c r="C61">
        <v>-9.3279348080707369E-2</v>
      </c>
      <c r="D61">
        <v>-1.6927066760024705</v>
      </c>
      <c r="F61">
        <v>55.263157894736835</v>
      </c>
      <c r="G61">
        <v>0.22719054258426613</v>
      </c>
    </row>
    <row r="62" spans="1:7">
      <c r="A62">
        <v>33</v>
      </c>
      <c r="B62">
        <v>0.32826995102520257</v>
      </c>
      <c r="C62">
        <v>-3.3737156094284404E-2</v>
      </c>
      <c r="D62">
        <v>-0.61221599984513508</v>
      </c>
      <c r="F62">
        <v>57.017543859649116</v>
      </c>
      <c r="G62">
        <v>0.23055707874016895</v>
      </c>
    </row>
    <row r="63" spans="1:7">
      <c r="A63">
        <v>34</v>
      </c>
      <c r="B63">
        <v>0.32826995102520257</v>
      </c>
      <c r="C63">
        <v>-6.6135834023503093E-2</v>
      </c>
      <c r="D63">
        <v>-1.2001431193292069</v>
      </c>
      <c r="F63">
        <v>58.771929824561397</v>
      </c>
      <c r="G63">
        <v>0.25446428571428575</v>
      </c>
    </row>
    <row r="64" spans="1:7">
      <c r="A64">
        <v>35</v>
      </c>
      <c r="B64">
        <v>4.4971925204761787E-2</v>
      </c>
      <c r="C64">
        <v>4.4313789080952556E-2</v>
      </c>
      <c r="D64">
        <v>0.80414634278311248</v>
      </c>
      <c r="F64">
        <v>60.526315789473678</v>
      </c>
      <c r="G64">
        <v>0.26213411700169947</v>
      </c>
    </row>
    <row r="65" spans="1:7">
      <c r="A65">
        <v>36</v>
      </c>
      <c r="B65">
        <v>0.10508330041292131</v>
      </c>
      <c r="C65">
        <v>-4.3476157555778341E-2</v>
      </c>
      <c r="D65">
        <v>-0.78894614569912602</v>
      </c>
      <c r="F65">
        <v>62.280701754385959</v>
      </c>
      <c r="G65">
        <v>0.26711080912957191</v>
      </c>
    </row>
    <row r="66" spans="1:7">
      <c r="A66">
        <v>37</v>
      </c>
      <c r="B66">
        <v>0.15012799845140459</v>
      </c>
      <c r="C66">
        <v>2.9931525358119243E-2</v>
      </c>
      <c r="D66">
        <v>0.54315659188343535</v>
      </c>
      <c r="F66">
        <v>64.035087719298247</v>
      </c>
      <c r="G66">
        <v>0.26812192548804736</v>
      </c>
    </row>
    <row r="67" spans="1:7">
      <c r="A67">
        <v>38</v>
      </c>
      <c r="B67">
        <v>1.8298617883209592E-2</v>
      </c>
      <c r="C67">
        <v>7.1753255014331579E-2</v>
      </c>
      <c r="D67">
        <v>1.3020804313788656</v>
      </c>
      <c r="F67">
        <v>65.78947368421052</v>
      </c>
      <c r="G67">
        <v>0.27394656157371061</v>
      </c>
    </row>
    <row r="68" spans="1:7">
      <c r="A68">
        <v>39</v>
      </c>
      <c r="B68">
        <v>1.8298617883209592E-2</v>
      </c>
      <c r="C68">
        <v>7.1779984456276216E-2</v>
      </c>
      <c r="D68">
        <v>1.3025654809183023</v>
      </c>
      <c r="F68">
        <v>67.543859649122794</v>
      </c>
      <c r="G68">
        <v>0.27474076409141457</v>
      </c>
    </row>
    <row r="69" spans="1:7">
      <c r="A69">
        <v>40</v>
      </c>
      <c r="B69">
        <v>1.8298617883209592E-2</v>
      </c>
      <c r="C69">
        <v>8.2563120100939622E-2</v>
      </c>
      <c r="D69">
        <v>1.4982431530882376</v>
      </c>
      <c r="F69">
        <v>69.298245614035082</v>
      </c>
      <c r="G69">
        <v>0.28977146430933753</v>
      </c>
    </row>
    <row r="70" spans="1:7">
      <c r="A70">
        <v>41</v>
      </c>
      <c r="B70">
        <v>0.10714835804818576</v>
      </c>
      <c r="C70">
        <v>1.0675558769740134E-2</v>
      </c>
      <c r="D70">
        <v>0.19372551343262787</v>
      </c>
      <c r="F70">
        <v>71.052631578947356</v>
      </c>
      <c r="G70">
        <v>0.29453279493091816</v>
      </c>
    </row>
    <row r="71" spans="1:7">
      <c r="A71">
        <v>42</v>
      </c>
      <c r="B71">
        <v>0.10714835804818576</v>
      </c>
      <c r="C71">
        <v>9.7758073661704525E-3</v>
      </c>
      <c r="D71">
        <v>0.17739804932720502</v>
      </c>
      <c r="F71">
        <v>72.807017543859644</v>
      </c>
      <c r="G71">
        <v>0.30200922606028952</v>
      </c>
    </row>
    <row r="72" spans="1:7">
      <c r="A72">
        <v>43</v>
      </c>
      <c r="B72">
        <v>0.10714835804818576</v>
      </c>
      <c r="C72">
        <v>1.781077002747844E-2</v>
      </c>
      <c r="D72">
        <v>0.32320561786272761</v>
      </c>
      <c r="F72">
        <v>74.561403508771917</v>
      </c>
      <c r="G72">
        <v>0.30600967993685441</v>
      </c>
    </row>
    <row r="73" spans="1:7">
      <c r="A73">
        <v>44</v>
      </c>
      <c r="B73">
        <v>0.10714835804818576</v>
      </c>
      <c r="C73">
        <v>1.6496536733742767E-2</v>
      </c>
      <c r="D73">
        <v>0.29935670043454937</v>
      </c>
      <c r="F73">
        <v>76.315789473684205</v>
      </c>
      <c r="G73">
        <v>0.30679775621831551</v>
      </c>
    </row>
    <row r="74" spans="1:7">
      <c r="A74">
        <v>45</v>
      </c>
      <c r="B74">
        <v>0.16259413150803204</v>
      </c>
      <c r="C74">
        <v>5.4139806534830859E-4</v>
      </c>
      <c r="D74">
        <v>9.8245553645699771E-3</v>
      </c>
      <c r="F74">
        <v>78.070175438596479</v>
      </c>
      <c r="G74">
        <v>0.31309405432537474</v>
      </c>
    </row>
    <row r="75" spans="1:7">
      <c r="A75">
        <v>46</v>
      </c>
      <c r="B75">
        <v>0.16259413150803204</v>
      </c>
      <c r="C75">
        <v>2.0152164798800026E-2</v>
      </c>
      <c r="D75">
        <v>0.36569406404209193</v>
      </c>
      <c r="F75">
        <v>79.824561403508767</v>
      </c>
      <c r="G75">
        <v>0.314505092620603</v>
      </c>
    </row>
    <row r="76" spans="1:7">
      <c r="A76">
        <v>47</v>
      </c>
      <c r="B76">
        <v>0.16259413150803204</v>
      </c>
      <c r="C76">
        <v>2.0288811003574936E-2</v>
      </c>
      <c r="D76">
        <v>0.36817373342049242</v>
      </c>
      <c r="F76">
        <v>81.578947368421041</v>
      </c>
      <c r="G76">
        <v>0.39702380952380961</v>
      </c>
    </row>
    <row r="77" spans="1:7">
      <c r="A77">
        <v>48</v>
      </c>
      <c r="B77">
        <v>0.16259413150803204</v>
      </c>
      <c r="C77">
        <v>2.5894512292688382E-2</v>
      </c>
      <c r="D77">
        <v>0.46989837227139925</v>
      </c>
      <c r="F77">
        <v>83.333333333333329</v>
      </c>
      <c r="G77">
        <v>0.44136904761904766</v>
      </c>
    </row>
    <row r="78" spans="1:7">
      <c r="A78">
        <v>49</v>
      </c>
      <c r="B78">
        <v>5.9849878257544675E-2</v>
      </c>
      <c r="C78">
        <v>5.2175151403231673E-2</v>
      </c>
      <c r="D78">
        <v>0.94680364859835742</v>
      </c>
      <c r="F78">
        <v>85.087719298245602</v>
      </c>
      <c r="G78">
        <v>0.51607142857142863</v>
      </c>
    </row>
    <row r="79" spans="1:7">
      <c r="A79">
        <v>50</v>
      </c>
      <c r="B79">
        <v>5.9849878257544675E-2</v>
      </c>
      <c r="C79">
        <v>5.7152733421367535E-2</v>
      </c>
      <c r="D79">
        <v>1.0371300336536906</v>
      </c>
      <c r="F79">
        <v>86.84210526315789</v>
      </c>
      <c r="G79">
        <v>0.53035714285714286</v>
      </c>
    </row>
    <row r="80" spans="1:7">
      <c r="A80">
        <v>51</v>
      </c>
      <c r="B80">
        <v>5.9849878257544675E-2</v>
      </c>
      <c r="C80">
        <v>7.2793235550728308E-2</v>
      </c>
      <c r="D80">
        <v>1.320952582965391</v>
      </c>
      <c r="F80">
        <v>88.596491228070164</v>
      </c>
      <c r="G80">
        <v>0.53050595238095233</v>
      </c>
    </row>
    <row r="81" spans="1:7">
      <c r="A81">
        <v>52</v>
      </c>
      <c r="B81">
        <v>0.12493169803490503</v>
      </c>
      <c r="C81">
        <v>3.185000408121369E-2</v>
      </c>
      <c r="D81">
        <v>0.57797053311661084</v>
      </c>
      <c r="F81">
        <v>90.350877192982452</v>
      </c>
      <c r="G81">
        <v>0.57053571428571426</v>
      </c>
    </row>
    <row r="82" spans="1:7">
      <c r="A82">
        <v>53</v>
      </c>
      <c r="B82">
        <v>0.12493169803490503</v>
      </c>
      <c r="C82">
        <v>-3.7427581823088196E-3</v>
      </c>
      <c r="D82">
        <v>-6.7918482410227493E-2</v>
      </c>
      <c r="F82">
        <v>92.105263157894726</v>
      </c>
      <c r="G82">
        <v>0.59196428571428572</v>
      </c>
    </row>
    <row r="83" spans="1:7">
      <c r="A83">
        <v>54</v>
      </c>
      <c r="B83">
        <v>0.12493169803490503</v>
      </c>
      <c r="C83">
        <v>1.6013630239126359E-2</v>
      </c>
      <c r="D83">
        <v>0.29059357050127732</v>
      </c>
      <c r="F83">
        <v>93.859649122807014</v>
      </c>
      <c r="G83">
        <v>0.59960317460317469</v>
      </c>
    </row>
    <row r="84" spans="1:7">
      <c r="A84">
        <v>55</v>
      </c>
      <c r="B84">
        <v>0.12493169803490503</v>
      </c>
      <c r="C84">
        <v>-2.2490276907431161E-3</v>
      </c>
      <c r="D84">
        <v>-4.0812294092594209E-2</v>
      </c>
      <c r="F84">
        <v>95.614035087719287</v>
      </c>
      <c r="G84">
        <v>0.61964285714285716</v>
      </c>
    </row>
    <row r="85" spans="1:7">
      <c r="A85">
        <v>56</v>
      </c>
      <c r="B85">
        <v>0.17643146711737961</v>
      </c>
      <c r="C85">
        <v>-1.775475745193919E-2</v>
      </c>
      <c r="D85">
        <v>-0.32218917786281093</v>
      </c>
      <c r="F85">
        <v>97.368421052631575</v>
      </c>
      <c r="G85">
        <v>0.63675595238095239</v>
      </c>
    </row>
    <row r="86" spans="1:7" ht="15.6" thickBot="1">
      <c r="A86" s="26">
        <v>57</v>
      </c>
      <c r="B86" s="26">
        <v>0.17643146711737961</v>
      </c>
      <c r="C86" s="26">
        <v>7.9283880977811527E-3</v>
      </c>
      <c r="D86" s="26">
        <v>0.14387359838150912</v>
      </c>
      <c r="F86" s="26">
        <v>99.122807017543849</v>
      </c>
      <c r="G86" s="26">
        <v>0.70744047619047623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131-7D78-4BF7-927D-9BE636974D75}">
  <dimension ref="A1:I86"/>
  <sheetViews>
    <sheetView topLeftCell="A6" workbookViewId="0">
      <selection activeCell="B17" sqref="B17:B23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0.9309792091543192</v>
      </c>
    </row>
    <row r="5" spans="1:9">
      <c r="A5" t="s">
        <v>23</v>
      </c>
      <c r="B5">
        <v>0.86672228787760153</v>
      </c>
    </row>
    <row r="6" spans="1:9">
      <c r="A6" t="s">
        <v>24</v>
      </c>
      <c r="B6">
        <v>0.83404800237540555</v>
      </c>
    </row>
    <row r="7" spans="1:9">
      <c r="A7" t="s">
        <v>25</v>
      </c>
      <c r="B7">
        <v>7.1359510540600871E-2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1.6888704496797899</v>
      </c>
      <c r="D12">
        <v>0.28147840827996501</v>
      </c>
      <c r="E12">
        <v>66.331925987989706</v>
      </c>
      <c r="F12">
        <v>4.3572828534811899E-22</v>
      </c>
    </row>
    <row r="13" spans="1:9">
      <c r="A13" t="s">
        <v>29</v>
      </c>
      <c r="B13">
        <v>51</v>
      </c>
      <c r="C13">
        <v>0.25970116697430051</v>
      </c>
      <c r="D13">
        <v>5.0921797445941273E-3</v>
      </c>
    </row>
    <row r="14" spans="1:9" ht="15.6" thickBot="1">
      <c r="A14" s="26" t="s">
        <v>30</v>
      </c>
      <c r="B14" s="26">
        <v>57</v>
      </c>
      <c r="C14" s="26">
        <v>1.9485716166540905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7.4331784913373444E-2</v>
      </c>
      <c r="C17">
        <v>0.13177479520150973</v>
      </c>
      <c r="D17">
        <v>0.56408196119527598</v>
      </c>
      <c r="E17">
        <v>0.57517072347259723</v>
      </c>
      <c r="F17">
        <v>-0.19021715526987043</v>
      </c>
      <c r="G17">
        <v>0.33888072509661732</v>
      </c>
      <c r="H17">
        <v>-0.19021715526987043</v>
      </c>
      <c r="I17">
        <v>0.33888072509661732</v>
      </c>
    </row>
    <row r="18" spans="1:9">
      <c r="A18" t="s">
        <v>8</v>
      </c>
      <c r="B18">
        <v>-0.47727231926343339</v>
      </c>
      <c r="C18">
        <v>9.4418144211596083E-2</v>
      </c>
      <c r="D18">
        <v>-5.0548792633949757</v>
      </c>
      <c r="E18">
        <v>5.9071934670724883E-6</v>
      </c>
      <c r="F18">
        <v>-0.66682465320597362</v>
      </c>
      <c r="G18">
        <v>-0.2877199853208931</v>
      </c>
      <c r="H18">
        <v>-0.66682465320597362</v>
      </c>
      <c r="I18">
        <v>-0.2877199853208931</v>
      </c>
    </row>
    <row r="19" spans="1:9">
      <c r="A19" t="s">
        <v>10</v>
      </c>
      <c r="B19">
        <v>-0.32258711805670759</v>
      </c>
      <c r="C19">
        <v>9.9095482941661858E-2</v>
      </c>
      <c r="D19">
        <v>-3.2553160697205206</v>
      </c>
      <c r="E19">
        <v>2.0150346705590729E-3</v>
      </c>
      <c r="F19">
        <v>-0.52152960132199766</v>
      </c>
      <c r="G19">
        <v>-0.12364463479141757</v>
      </c>
      <c r="H19">
        <v>-0.52152960132199766</v>
      </c>
      <c r="I19">
        <v>-0.12364463479141757</v>
      </c>
    </row>
    <row r="20" spans="1:9">
      <c r="A20" t="s">
        <v>14</v>
      </c>
      <c r="B20">
        <v>0.36814753346320883</v>
      </c>
      <c r="C20">
        <v>0.10034020887222707</v>
      </c>
      <c r="D20">
        <v>3.6689930946028508</v>
      </c>
      <c r="E20">
        <v>5.82177077755226E-4</v>
      </c>
      <c r="F20">
        <v>0.16670615862122481</v>
      </c>
      <c r="G20">
        <v>0.56958890830519282</v>
      </c>
      <c r="H20">
        <v>0.16670615862122481</v>
      </c>
      <c r="I20">
        <v>0.56958890830519282</v>
      </c>
    </row>
    <row r="21" spans="1:9">
      <c r="A21" t="s">
        <v>46</v>
      </c>
      <c r="B21">
        <v>1.3230154205966123E-3</v>
      </c>
      <c r="C21">
        <v>1.074166622953653E-3</v>
      </c>
      <c r="D21">
        <v>1.231666849746919</v>
      </c>
      <c r="E21">
        <v>0.22372261973121577</v>
      </c>
      <c r="F21">
        <v>-8.334640582601104E-4</v>
      </c>
      <c r="G21">
        <v>3.4794948994533352E-3</v>
      </c>
      <c r="H21">
        <v>-8.334640582601104E-4</v>
      </c>
      <c r="I21">
        <v>3.4794948994533352E-3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6.2653899338290225E-3</v>
      </c>
      <c r="C23" s="26">
        <v>1.0702867465890191E-3</v>
      </c>
      <c r="D23" s="26">
        <v>5.8539358296238708</v>
      </c>
      <c r="E23" s="26" t="e">
        <v>#NUM!</v>
      </c>
      <c r="F23" s="26">
        <v>4.1166996317927706E-3</v>
      </c>
      <c r="G23" s="26">
        <v>8.4140802358652744E-3</v>
      </c>
      <c r="H23" s="26">
        <v>4.1166996317927706E-3</v>
      </c>
      <c r="I23" s="26">
        <v>8.4140802358652744E-3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56</v>
      </c>
      <c r="C29" s="27" t="s">
        <v>29</v>
      </c>
      <c r="D29" s="27" t="s">
        <v>55</v>
      </c>
      <c r="F29" s="27" t="s">
        <v>52</v>
      </c>
      <c r="G29" s="27" t="s">
        <v>57</v>
      </c>
    </row>
    <row r="30" spans="1:9">
      <c r="A30">
        <v>1</v>
      </c>
      <c r="B30">
        <v>0.46067451113993141</v>
      </c>
      <c r="C30">
        <v>-0.2776867725427683</v>
      </c>
      <c r="D30">
        <v>-4.1139183711823044</v>
      </c>
      <c r="F30">
        <v>0.8771929824561403</v>
      </c>
      <c r="G30">
        <v>7.5394722080418849E-2</v>
      </c>
    </row>
    <row r="31" spans="1:9">
      <c r="A31">
        <v>2</v>
      </c>
      <c r="B31">
        <v>0.40012253502183182</v>
      </c>
      <c r="C31">
        <v>-1.0539201688498423E-2</v>
      </c>
      <c r="D31">
        <v>-0.15613784930008315</v>
      </c>
      <c r="F31">
        <v>2.6315789473684208</v>
      </c>
      <c r="G31">
        <v>7.6689948708763556E-2</v>
      </c>
    </row>
    <row r="32" spans="1:9">
      <c r="A32">
        <v>3</v>
      </c>
      <c r="B32">
        <v>0.33204396509984646</v>
      </c>
      <c r="C32">
        <v>0.16624693777255561</v>
      </c>
      <c r="D32">
        <v>2.462941699356537</v>
      </c>
      <c r="F32">
        <v>4.3859649122807012</v>
      </c>
      <c r="G32">
        <v>9.6262307319613383E-2</v>
      </c>
    </row>
    <row r="33" spans="1:7">
      <c r="A33">
        <v>4</v>
      </c>
      <c r="B33">
        <v>0.69668264522347056</v>
      </c>
      <c r="C33">
        <v>4.68389915600953E-2</v>
      </c>
      <c r="D33">
        <v>0.69391777686152223</v>
      </c>
      <c r="F33">
        <v>6.140350877192982</v>
      </c>
      <c r="G33">
        <v>0.104826776976109</v>
      </c>
    </row>
    <row r="34" spans="1:7">
      <c r="A34">
        <v>5</v>
      </c>
      <c r="B34">
        <v>0.53246844475466171</v>
      </c>
      <c r="C34">
        <v>-2.1841530067773118E-2</v>
      </c>
      <c r="D34">
        <v>-0.32358138984349172</v>
      </c>
      <c r="F34">
        <v>7.8947368421052628</v>
      </c>
      <c r="G34">
        <v>0.10744108612117603</v>
      </c>
    </row>
    <row r="35" spans="1:7">
      <c r="A35">
        <v>6</v>
      </c>
      <c r="B35">
        <v>0.41714935363640998</v>
      </c>
      <c r="C35">
        <v>4.8723218166765336E-2</v>
      </c>
      <c r="D35">
        <v>0.72183251828643646</v>
      </c>
      <c r="F35">
        <v>9.6491228070175428</v>
      </c>
      <c r="G35">
        <v>0.11010175869952225</v>
      </c>
    </row>
    <row r="36" spans="1:7">
      <c r="A36">
        <v>7</v>
      </c>
      <c r="B36">
        <v>0.41714935363640998</v>
      </c>
      <c r="C36">
        <v>4.2467551801140924E-2</v>
      </c>
      <c r="D36">
        <v>0.62915507258071468</v>
      </c>
      <c r="F36">
        <v>11.403508771929824</v>
      </c>
      <c r="G36">
        <v>0.11522788140020224</v>
      </c>
    </row>
    <row r="37" spans="1:7">
      <c r="A37">
        <v>8</v>
      </c>
      <c r="B37">
        <v>0.75752435107020877</v>
      </c>
      <c r="C37">
        <v>9.4736698821438758E-2</v>
      </c>
      <c r="D37">
        <v>1.4035203842727355</v>
      </c>
      <c r="F37">
        <v>13.157894736842104</v>
      </c>
      <c r="G37">
        <v>0.11573893096912527</v>
      </c>
    </row>
    <row r="38" spans="1:7">
      <c r="A38">
        <v>9</v>
      </c>
      <c r="B38">
        <v>0.590444521419908</v>
      </c>
      <c r="C38">
        <v>6.6575217209516424E-2</v>
      </c>
      <c r="D38">
        <v>0.98630916638817989</v>
      </c>
      <c r="F38">
        <v>14.912280701754385</v>
      </c>
      <c r="G38">
        <v>0.11618078912870942</v>
      </c>
    </row>
    <row r="39" spans="1:7">
      <c r="A39">
        <v>10</v>
      </c>
      <c r="B39">
        <v>0.590444521419908</v>
      </c>
      <c r="C39">
        <v>6.51128546651355E-2</v>
      </c>
      <c r="D39">
        <v>0.96464432408557799</v>
      </c>
      <c r="F39">
        <v>16.666666666666664</v>
      </c>
      <c r="G39">
        <v>0.11752790418660788</v>
      </c>
    </row>
    <row r="40" spans="1:7">
      <c r="A40">
        <v>11</v>
      </c>
      <c r="B40">
        <v>0.46284977192780402</v>
      </c>
      <c r="C40">
        <v>0.16247679458617464</v>
      </c>
      <c r="D40">
        <v>2.4070871796240509</v>
      </c>
      <c r="F40">
        <v>18.421052631578945</v>
      </c>
      <c r="G40">
        <v>0.11902073281978914</v>
      </c>
    </row>
    <row r="41" spans="1:7">
      <c r="A41">
        <v>12</v>
      </c>
      <c r="B41">
        <v>0.14411839774605997</v>
      </c>
      <c r="C41">
        <v>-1.2254430543259642E-2</v>
      </c>
      <c r="D41">
        <v>-0.1815488958248051</v>
      </c>
      <c r="F41">
        <v>20.175438596491226</v>
      </c>
      <c r="G41">
        <v>0.11956017193121819</v>
      </c>
    </row>
    <row r="42" spans="1:7">
      <c r="A42">
        <v>13</v>
      </c>
      <c r="B42">
        <v>0.18952041359869926</v>
      </c>
      <c r="C42">
        <v>3.0483617221186976E-3</v>
      </c>
      <c r="D42">
        <v>4.5161356357734189E-2</v>
      </c>
      <c r="F42">
        <v>21.929824561403507</v>
      </c>
      <c r="G42">
        <v>0.12949078664273017</v>
      </c>
    </row>
    <row r="43" spans="1:7">
      <c r="A43">
        <v>14</v>
      </c>
      <c r="B43">
        <v>0.18851895084408521</v>
      </c>
      <c r="C43">
        <v>5.1750333943486382E-2</v>
      </c>
      <c r="D43">
        <v>0.7666791168172703</v>
      </c>
      <c r="F43">
        <v>23.684210526315788</v>
      </c>
      <c r="G43">
        <v>0.13186396720280033</v>
      </c>
    </row>
    <row r="44" spans="1:7">
      <c r="A44">
        <v>15</v>
      </c>
      <c r="B44">
        <v>0.27788683578456674</v>
      </c>
      <c r="C44">
        <v>-6.0614684874047808E-2</v>
      </c>
      <c r="D44">
        <v>-0.89800411947373304</v>
      </c>
      <c r="F44">
        <v>25.438596491228068</v>
      </c>
      <c r="G44">
        <v>0.13285873086390856</v>
      </c>
    </row>
    <row r="45" spans="1:7">
      <c r="A45">
        <v>16</v>
      </c>
      <c r="B45">
        <v>0.27788683578456674</v>
      </c>
      <c r="C45">
        <v>-7.0072348357296227E-2</v>
      </c>
      <c r="D45">
        <v>-1.038119023744887</v>
      </c>
      <c r="F45">
        <v>27.192982456140349</v>
      </c>
      <c r="G45">
        <v>0.13384470060983608</v>
      </c>
    </row>
    <row r="46" spans="1:7">
      <c r="A46">
        <v>17</v>
      </c>
      <c r="B46">
        <v>0.27060896386475219</v>
      </c>
      <c r="C46">
        <v>-7.9634999114569088E-2</v>
      </c>
      <c r="D46">
        <v>-1.1797893102598351</v>
      </c>
      <c r="F46">
        <v>28.94736842105263</v>
      </c>
      <c r="G46">
        <v>0.13552171227821969</v>
      </c>
    </row>
    <row r="47" spans="1:7">
      <c r="A47">
        <v>18</v>
      </c>
      <c r="B47">
        <v>0.27060896386475219</v>
      </c>
      <c r="C47">
        <v>-8.3492765201113928E-2</v>
      </c>
      <c r="D47">
        <v>-1.2369419597354832</v>
      </c>
      <c r="F47">
        <v>30.701754385964911</v>
      </c>
      <c r="G47">
        <v>0.13585622569735606</v>
      </c>
    </row>
    <row r="48" spans="1:7">
      <c r="A48">
        <v>19</v>
      </c>
      <c r="B48">
        <v>0.27060896386475219</v>
      </c>
      <c r="C48">
        <v>-5.7434736310619461E-2</v>
      </c>
      <c r="D48">
        <v>-0.8508933093522757</v>
      </c>
      <c r="F48">
        <v>32.456140350877192</v>
      </c>
      <c r="G48">
        <v>0.13618253746617121</v>
      </c>
    </row>
    <row r="49" spans="1:7">
      <c r="A49">
        <v>20</v>
      </c>
      <c r="B49">
        <v>0.24827790433716604</v>
      </c>
      <c r="C49">
        <v>-4.4731069072925761E-2</v>
      </c>
      <c r="D49">
        <v>-0.66268898996041237</v>
      </c>
      <c r="F49">
        <v>34.210526315789465</v>
      </c>
      <c r="G49">
        <v>0.13946400436580281</v>
      </c>
    </row>
    <row r="50" spans="1:7">
      <c r="A50">
        <v>21</v>
      </c>
      <c r="B50">
        <v>0.24827790433716604</v>
      </c>
      <c r="C50">
        <v>-5.0642099363946952E-2</v>
      </c>
      <c r="D50">
        <v>-0.75026066607653663</v>
      </c>
      <c r="F50">
        <v>35.964912280701746</v>
      </c>
      <c r="G50">
        <v>0.14684843424395741</v>
      </c>
    </row>
    <row r="51" spans="1:7">
      <c r="A51">
        <v>22</v>
      </c>
      <c r="B51">
        <v>0.24827790433716604</v>
      </c>
      <c r="C51">
        <v>-1.3531213047629581E-2</v>
      </c>
      <c r="D51">
        <v>-0.20046437729565067</v>
      </c>
      <c r="F51">
        <v>37.719298245614027</v>
      </c>
      <c r="G51">
        <v>0.14872614773145862</v>
      </c>
    </row>
    <row r="52" spans="1:7">
      <c r="A52">
        <v>23</v>
      </c>
      <c r="B52">
        <v>0.42669287250282184</v>
      </c>
      <c r="C52">
        <v>-4.2273200395535615E-3</v>
      </c>
      <c r="D52">
        <v>-6.2627576432031984E-2</v>
      </c>
      <c r="F52">
        <v>39.473684210526308</v>
      </c>
      <c r="G52">
        <v>0.15478379032619954</v>
      </c>
    </row>
    <row r="53" spans="1:7">
      <c r="A53">
        <v>24</v>
      </c>
      <c r="B53">
        <v>0.42669287250282184</v>
      </c>
      <c r="C53">
        <v>7.2148937465266183E-5</v>
      </c>
      <c r="D53">
        <v>1.068883607892873E-3</v>
      </c>
      <c r="F53">
        <v>41.228070175438589</v>
      </c>
      <c r="G53">
        <v>0.15762191818245747</v>
      </c>
    </row>
    <row r="54" spans="1:7">
      <c r="A54">
        <v>25</v>
      </c>
      <c r="B54">
        <v>0.42669287250282184</v>
      </c>
      <c r="C54">
        <v>5.5138005799915235E-2</v>
      </c>
      <c r="D54">
        <v>0.8168673391732828</v>
      </c>
      <c r="F54">
        <v>42.98245614035087</v>
      </c>
      <c r="G54">
        <v>0.18298773859716308</v>
      </c>
    </row>
    <row r="55" spans="1:7">
      <c r="A55">
        <v>26</v>
      </c>
      <c r="B55">
        <v>0.42669287250282184</v>
      </c>
      <c r="C55">
        <v>-1.1197104001527181E-2</v>
      </c>
      <c r="D55">
        <v>-0.16588464561748961</v>
      </c>
      <c r="F55">
        <v>44.73684210526315</v>
      </c>
      <c r="G55">
        <v>0.18711619866363827</v>
      </c>
    </row>
    <row r="56" spans="1:7">
      <c r="A56">
        <v>27</v>
      </c>
      <c r="B56">
        <v>0.42669287250282184</v>
      </c>
      <c r="C56">
        <v>-5.81395098716464E-3</v>
      </c>
      <c r="D56">
        <v>-8.6133450132437714E-2</v>
      </c>
      <c r="F56">
        <v>46.491228070175431</v>
      </c>
      <c r="G56">
        <v>0.19097396475018311</v>
      </c>
    </row>
    <row r="57" spans="1:7">
      <c r="A57">
        <v>28</v>
      </c>
      <c r="B57">
        <v>0.42669287250282184</v>
      </c>
      <c r="C57">
        <v>4.6874385460013879E-2</v>
      </c>
      <c r="D57">
        <v>0.69444213606584981</v>
      </c>
      <c r="F57">
        <v>48.245614035087712</v>
      </c>
      <c r="G57">
        <v>0.19256877532081795</v>
      </c>
    </row>
    <row r="58" spans="1:7">
      <c r="A58">
        <v>29</v>
      </c>
      <c r="B58">
        <v>0.3395843534879841</v>
      </c>
      <c r="C58">
        <v>-9.3729673722858509E-2</v>
      </c>
      <c r="D58">
        <v>-1.3886013479234154</v>
      </c>
      <c r="F58">
        <v>49.999999999999993</v>
      </c>
      <c r="G58">
        <v>0.19763580497321909</v>
      </c>
    </row>
    <row r="59" spans="1:7">
      <c r="A59">
        <v>30</v>
      </c>
      <c r="B59">
        <v>0.3395843534879841</v>
      </c>
      <c r="C59">
        <v>-8.1475028846976327E-2</v>
      </c>
      <c r="D59">
        <v>-1.2070492767694243</v>
      </c>
      <c r="F59">
        <v>51.754385964912274</v>
      </c>
      <c r="G59">
        <v>0.20354683526424028</v>
      </c>
    </row>
    <row r="60" spans="1:7">
      <c r="A60">
        <v>31</v>
      </c>
      <c r="B60">
        <v>0.3395843534879841</v>
      </c>
      <c r="C60">
        <v>-9.6128735567442419E-2</v>
      </c>
      <c r="D60">
        <v>-1.4241433526997365</v>
      </c>
      <c r="F60">
        <v>53.508771929824555</v>
      </c>
      <c r="G60">
        <v>0.20781448742727052</v>
      </c>
    </row>
    <row r="61" spans="1:7">
      <c r="A61">
        <v>32</v>
      </c>
      <c r="B61">
        <v>0.3395843534879841</v>
      </c>
      <c r="C61">
        <v>-2.1245687914594358E-2</v>
      </c>
      <c r="D61">
        <v>-0.31475401229921424</v>
      </c>
      <c r="F61">
        <v>55.263157894736835</v>
      </c>
      <c r="G61">
        <v>0.21120481801762225</v>
      </c>
    </row>
    <row r="62" spans="1:7">
      <c r="A62">
        <v>33</v>
      </c>
      <c r="B62">
        <v>0.29322859271056545</v>
      </c>
      <c r="C62">
        <v>-8.2023774692943197E-2</v>
      </c>
      <c r="D62">
        <v>-1.215178924415804</v>
      </c>
      <c r="F62">
        <v>57.017543859649116</v>
      </c>
      <c r="G62">
        <v>0.21317422755413273</v>
      </c>
    </row>
    <row r="63" spans="1:7">
      <c r="A63">
        <v>34</v>
      </c>
      <c r="B63">
        <v>0.29322859271056545</v>
      </c>
      <c r="C63">
        <v>-5.4855134772074071E-2</v>
      </c>
      <c r="D63">
        <v>-0.81267661626828103</v>
      </c>
      <c r="F63">
        <v>58.771929824561397</v>
      </c>
      <c r="G63">
        <v>0.21727215091051894</v>
      </c>
    </row>
    <row r="64" spans="1:7">
      <c r="A64">
        <v>35</v>
      </c>
      <c r="B64">
        <v>5.3705117822607659E-2</v>
      </c>
      <c r="C64">
        <v>6.2033813146517611E-2</v>
      </c>
      <c r="D64">
        <v>0.91902844777614989</v>
      </c>
      <c r="F64">
        <v>60.526315789473678</v>
      </c>
      <c r="G64">
        <v>0.23474669128953646</v>
      </c>
    </row>
    <row r="65" spans="1:7">
      <c r="A65">
        <v>36</v>
      </c>
      <c r="B65">
        <v>9.3412457749033978E-2</v>
      </c>
      <c r="C65">
        <v>4.2443767948322081E-2</v>
      </c>
      <c r="D65">
        <v>0.62880271575740276</v>
      </c>
      <c r="F65">
        <v>62.280701754385959</v>
      </c>
      <c r="G65">
        <v>0.23837345793849138</v>
      </c>
    </row>
    <row r="66" spans="1:7">
      <c r="A66">
        <v>37</v>
      </c>
      <c r="B66">
        <v>0.10744978744315871</v>
      </c>
      <c r="C66">
        <v>4.127636028829991E-2</v>
      </c>
      <c r="D66">
        <v>0.61150761820829469</v>
      </c>
      <c r="F66">
        <v>64.035087719298247</v>
      </c>
      <c r="G66">
        <v>0.24026928478757159</v>
      </c>
    </row>
    <row r="67" spans="1:7">
      <c r="A67">
        <v>38</v>
      </c>
      <c r="B67">
        <v>1.7141068299153989E-2</v>
      </c>
      <c r="C67">
        <v>7.9121239020459394E-2</v>
      </c>
      <c r="D67">
        <v>1.1721779751206625</v>
      </c>
      <c r="F67">
        <v>65.78947368421052</v>
      </c>
      <c r="G67">
        <v>0.24345561792054168</v>
      </c>
    </row>
    <row r="68" spans="1:7">
      <c r="A68">
        <v>39</v>
      </c>
      <c r="B68">
        <v>1.7141068299153989E-2</v>
      </c>
      <c r="C68">
        <v>5.9548880409609567E-2</v>
      </c>
      <c r="D68">
        <v>0.88221426918237533</v>
      </c>
      <c r="F68">
        <v>67.543859649122794</v>
      </c>
      <c r="G68">
        <v>0.24585467976512559</v>
      </c>
    </row>
    <row r="69" spans="1:7">
      <c r="A69">
        <v>40</v>
      </c>
      <c r="B69">
        <v>1.7141068299153989E-2</v>
      </c>
      <c r="C69">
        <v>5.8253653781264861E-2</v>
      </c>
      <c r="D69">
        <v>0.8630255387563659</v>
      </c>
      <c r="F69">
        <v>69.298245614035082</v>
      </c>
      <c r="G69">
        <v>0.25810932464100778</v>
      </c>
    </row>
    <row r="70" spans="1:7">
      <c r="A70">
        <v>41</v>
      </c>
      <c r="B70">
        <v>0.1043147944849154</v>
      </c>
      <c r="C70">
        <v>1.0913086915286835E-2</v>
      </c>
      <c r="D70">
        <v>0.16167694390337981</v>
      </c>
      <c r="F70">
        <v>71.052631578947356</v>
      </c>
      <c r="G70">
        <v>0.31833866557338975</v>
      </c>
    </row>
    <row r="71" spans="1:7">
      <c r="A71">
        <v>42</v>
      </c>
      <c r="B71">
        <v>0.1043147944849154</v>
      </c>
      <c r="C71">
        <v>3.1262916362606308E-3</v>
      </c>
      <c r="D71">
        <v>4.6315884902675165E-2</v>
      </c>
      <c r="F71">
        <v>72.807017543859644</v>
      </c>
      <c r="G71">
        <v>0.38958333333333339</v>
      </c>
    </row>
    <row r="72" spans="1:7">
      <c r="A72">
        <v>43</v>
      </c>
      <c r="B72">
        <v>0.1043147944849154</v>
      </c>
      <c r="C72">
        <v>1.3213109701692483E-2</v>
      </c>
      <c r="D72">
        <v>0.19575168901452761</v>
      </c>
      <c r="F72">
        <v>74.561403508771917</v>
      </c>
      <c r="G72">
        <v>0.41549576850129466</v>
      </c>
    </row>
    <row r="73" spans="1:7">
      <c r="A73">
        <v>44</v>
      </c>
      <c r="B73">
        <v>0.1043147944849154</v>
      </c>
      <c r="C73">
        <v>1.5245377446302791E-2</v>
      </c>
      <c r="D73">
        <v>0.22585965394622384</v>
      </c>
      <c r="F73">
        <v>76.315789473684205</v>
      </c>
      <c r="G73">
        <v>0.4208789215156572</v>
      </c>
    </row>
    <row r="74" spans="1:7">
      <c r="A74">
        <v>45</v>
      </c>
      <c r="B74">
        <v>0.13502718833659352</v>
      </c>
      <c r="C74">
        <v>2.2594729845863942E-2</v>
      </c>
      <c r="D74">
        <v>0.33474001427448091</v>
      </c>
      <c r="F74">
        <v>78.070175438596479</v>
      </c>
      <c r="G74">
        <v>0.42246555246326828</v>
      </c>
    </row>
    <row r="75" spans="1:7">
      <c r="A75">
        <v>46</v>
      </c>
      <c r="B75">
        <v>0.13502718833659352</v>
      </c>
      <c r="C75">
        <v>4.436816029209284E-3</v>
      </c>
      <c r="D75">
        <v>6.573125109626525E-2</v>
      </c>
      <c r="F75">
        <v>79.824561403508767</v>
      </c>
      <c r="G75">
        <v>0.42676502144028711</v>
      </c>
    </row>
    <row r="76" spans="1:7">
      <c r="A76">
        <v>47</v>
      </c>
      <c r="B76">
        <v>0.13502718833659352</v>
      </c>
      <c r="C76">
        <v>-2.492542963707127E-2</v>
      </c>
      <c r="D76">
        <v>-0.36926923797843614</v>
      </c>
      <c r="F76">
        <v>81.578947368421041</v>
      </c>
      <c r="G76">
        <v>0.4596169054375509</v>
      </c>
    </row>
    <row r="77" spans="1:7">
      <c r="A77">
        <v>48</v>
      </c>
      <c r="B77">
        <v>0.13502718833659352</v>
      </c>
      <c r="C77">
        <v>-3.0200411360484528E-2</v>
      </c>
      <c r="D77">
        <v>-0.44741788013696177</v>
      </c>
      <c r="F77">
        <v>83.333333333333329</v>
      </c>
      <c r="G77">
        <v>0.46587257180317532</v>
      </c>
    </row>
    <row r="78" spans="1:7">
      <c r="A78">
        <v>49</v>
      </c>
      <c r="B78">
        <v>9.5099160429201857E-2</v>
      </c>
      <c r="C78">
        <v>2.1081628699507568E-2</v>
      </c>
      <c r="D78">
        <v>0.31232348162349272</v>
      </c>
      <c r="F78">
        <v>85.087719298245602</v>
      </c>
      <c r="G78">
        <v>0.47356725796283572</v>
      </c>
    </row>
    <row r="79" spans="1:7">
      <c r="A79">
        <v>50</v>
      </c>
      <c r="B79">
        <v>9.5099160429201857E-2</v>
      </c>
      <c r="C79">
        <v>5.9684629896997687E-2</v>
      </c>
      <c r="D79">
        <v>0.88422539238039721</v>
      </c>
      <c r="F79">
        <v>86.84210526315789</v>
      </c>
      <c r="G79">
        <v>0.48183087830273708</v>
      </c>
    </row>
    <row r="80" spans="1:7">
      <c r="A80">
        <v>51</v>
      </c>
      <c r="B80">
        <v>9.5099160429201857E-2</v>
      </c>
      <c r="C80">
        <v>3.4391626213528315E-2</v>
      </c>
      <c r="D80">
        <v>0.50951055968241399</v>
      </c>
      <c r="F80">
        <v>88.596491228070164</v>
      </c>
      <c r="G80">
        <v>0.49829090287240208</v>
      </c>
    </row>
    <row r="81" spans="1:7">
      <c r="A81">
        <v>52</v>
      </c>
      <c r="B81">
        <v>0.1410953927076726</v>
      </c>
      <c r="C81">
        <v>-4.912855241501396E-3</v>
      </c>
      <c r="D81">
        <v>-7.2783752887829872E-2</v>
      </c>
      <c r="F81">
        <v>90.350877192982452</v>
      </c>
      <c r="G81">
        <v>0.51062691468688859</v>
      </c>
    </row>
    <row r="82" spans="1:7">
      <c r="A82">
        <v>53</v>
      </c>
      <c r="B82">
        <v>0.1410953927076726</v>
      </c>
      <c r="C82">
        <v>-7.2506920978365197E-3</v>
      </c>
      <c r="D82">
        <v>-0.10741871192471693</v>
      </c>
      <c r="F82">
        <v>92.105263157894726</v>
      </c>
      <c r="G82">
        <v>0.62532656651397867</v>
      </c>
    </row>
    <row r="83" spans="1:7">
      <c r="A83">
        <v>54</v>
      </c>
      <c r="B83">
        <v>0.1410953927076726</v>
      </c>
      <c r="C83">
        <v>-5.5736804294529152E-3</v>
      </c>
      <c r="D83">
        <v>-8.2573851479706625E-2</v>
      </c>
      <c r="F83">
        <v>93.859649122807014</v>
      </c>
      <c r="G83">
        <v>0.6555573760850435</v>
      </c>
    </row>
    <row r="84" spans="1:7">
      <c r="A84">
        <v>55</v>
      </c>
      <c r="B84">
        <v>0.1410953927076726</v>
      </c>
      <c r="C84">
        <v>-8.2366618437640371E-3</v>
      </c>
      <c r="D84">
        <v>-0.12202581407099018</v>
      </c>
      <c r="F84">
        <v>95.614035087719287</v>
      </c>
      <c r="G84">
        <v>0.65701973862942442</v>
      </c>
    </row>
    <row r="85" spans="1:7">
      <c r="A85">
        <v>56</v>
      </c>
      <c r="B85">
        <v>0.16451184357448564</v>
      </c>
      <c r="C85">
        <v>-1.7663409330528235E-2</v>
      </c>
      <c r="D85">
        <v>-0.26168269909716824</v>
      </c>
      <c r="F85">
        <v>97.368421052631575</v>
      </c>
      <c r="G85">
        <v>0.74352163678356586</v>
      </c>
    </row>
    <row r="86" spans="1:7" ht="15.6" thickBot="1">
      <c r="A86" s="26">
        <v>57</v>
      </c>
      <c r="B86" s="26">
        <v>0.16451184357448564</v>
      </c>
      <c r="C86" s="26">
        <v>-4.5491110754696501E-2</v>
      </c>
      <c r="D86" s="26">
        <v>-0.67394897691934963</v>
      </c>
      <c r="F86" s="26">
        <v>99.122807017543849</v>
      </c>
      <c r="G86" s="26">
        <v>0.85226104989164753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44DC-707D-4D88-AA01-86ECE2C9437A}">
  <dimension ref="A1:I86"/>
  <sheetViews>
    <sheetView topLeftCell="A30" workbookViewId="0">
      <selection activeCell="A22" sqref="A22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0.95624635546236669</v>
      </c>
    </row>
    <row r="5" spans="1:9">
      <c r="A5" t="s">
        <v>23</v>
      </c>
      <c r="B5">
        <v>0.9144070923350589</v>
      </c>
    </row>
    <row r="6" spans="1:9">
      <c r="A6" t="s">
        <v>24</v>
      </c>
      <c r="B6">
        <v>0.88640778766202544</v>
      </c>
    </row>
    <row r="7" spans="1:9">
      <c r="A7" t="s">
        <v>25</v>
      </c>
      <c r="B7">
        <v>7.8293323245186937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33398.075112438251</v>
      </c>
      <c r="D12">
        <v>5566.3458520730419</v>
      </c>
      <c r="E12">
        <v>108.96875215793051</v>
      </c>
      <c r="F12">
        <v>5.9112541469941912E-27</v>
      </c>
    </row>
    <row r="13" spans="1:9">
      <c r="A13" t="s">
        <v>29</v>
      </c>
      <c r="B13">
        <v>51</v>
      </c>
      <c r="C13">
        <v>3126.2206770354178</v>
      </c>
      <c r="D13">
        <v>61.298444647753293</v>
      </c>
    </row>
    <row r="14" spans="1:9" ht="15.6" thickBot="1">
      <c r="A14" s="26" t="s">
        <v>30</v>
      </c>
      <c r="B14" s="26">
        <v>57</v>
      </c>
      <c r="C14" s="26">
        <v>36524.295789473668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21.142755419473573</v>
      </c>
      <c r="C17">
        <v>14.457899946511088</v>
      </c>
      <c r="D17">
        <v>1.4623669756807001</v>
      </c>
      <c r="E17">
        <v>0.14977604236127826</v>
      </c>
      <c r="F17">
        <v>-7.8826898659922655</v>
      </c>
      <c r="G17">
        <v>50.168200704939409</v>
      </c>
      <c r="H17">
        <v>-7.8826898659922655</v>
      </c>
      <c r="I17">
        <v>50.168200704939409</v>
      </c>
    </row>
    <row r="18" spans="1:9">
      <c r="A18" t="s">
        <v>8</v>
      </c>
      <c r="B18">
        <v>-12.890954222189889</v>
      </c>
      <c r="C18">
        <v>10.359250265265233</v>
      </c>
      <c r="D18">
        <v>-1.2443906549312269</v>
      </c>
      <c r="E18">
        <v>0.2190444227075993</v>
      </c>
      <c r="F18">
        <v>-33.688016927376381</v>
      </c>
      <c r="G18">
        <v>7.9061084829966024</v>
      </c>
      <c r="H18">
        <v>-33.688016927376381</v>
      </c>
      <c r="I18">
        <v>7.9061084829966024</v>
      </c>
    </row>
    <row r="19" spans="1:9">
      <c r="A19" t="s">
        <v>10</v>
      </c>
      <c r="B19">
        <v>-76.192832429837324</v>
      </c>
      <c r="C19">
        <v>10.872432587209433</v>
      </c>
      <c r="D19">
        <v>-7.0078919155104478</v>
      </c>
      <c r="E19">
        <v>5.2885873381472035E-9</v>
      </c>
      <c r="F19">
        <v>-98.020151635771981</v>
      </c>
      <c r="G19">
        <v>-54.365513223902667</v>
      </c>
      <c r="H19">
        <v>-98.020151635771981</v>
      </c>
      <c r="I19">
        <v>-54.365513223902667</v>
      </c>
    </row>
    <row r="20" spans="1:9">
      <c r="A20" t="s">
        <v>14</v>
      </c>
      <c r="B20">
        <v>21.070924014206234</v>
      </c>
      <c r="C20">
        <v>11.008999849085424</v>
      </c>
      <c r="D20">
        <v>1.9139725954267053</v>
      </c>
      <c r="E20">
        <v>6.1243223969930018E-2</v>
      </c>
      <c r="F20">
        <v>-1.0305654102271404</v>
      </c>
      <c r="G20">
        <v>43.172413438639609</v>
      </c>
      <c r="H20">
        <v>-1.0305654102271404</v>
      </c>
      <c r="I20">
        <v>43.172413438639609</v>
      </c>
    </row>
    <row r="21" spans="1:9">
      <c r="A21" t="s">
        <v>46</v>
      </c>
      <c r="B21">
        <v>0.9928428217695674</v>
      </c>
      <c r="C21">
        <v>0.11785405195885054</v>
      </c>
      <c r="D21">
        <v>8.4243418471197273</v>
      </c>
      <c r="E21">
        <v>3.1734888763959483E-11</v>
      </c>
      <c r="F21">
        <v>0.75624093979101992</v>
      </c>
      <c r="G21">
        <v>1.2294447037481149</v>
      </c>
      <c r="H21">
        <v>0.75624093979101992</v>
      </c>
      <c r="I21">
        <v>1.2294447037481149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0.66305183696717407</v>
      </c>
      <c r="C23" s="26">
        <v>0.11742836460187965</v>
      </c>
      <c r="D23" s="26">
        <v>5.6464367805439126</v>
      </c>
      <c r="E23" s="26" t="e">
        <v>#NUM!</v>
      </c>
      <c r="F23" s="26">
        <v>0.42730455801770995</v>
      </c>
      <c r="G23" s="26">
        <v>0.89879911591663819</v>
      </c>
      <c r="H23" s="26">
        <v>0.42730455801770995</v>
      </c>
      <c r="I23" s="26">
        <v>0.89879911591663819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53</v>
      </c>
      <c r="C29" s="27" t="s">
        <v>29</v>
      </c>
      <c r="D29" s="27" t="s">
        <v>55</v>
      </c>
      <c r="F29" s="27" t="s">
        <v>52</v>
      </c>
      <c r="G29" s="27" t="s">
        <v>5</v>
      </c>
    </row>
    <row r="30" spans="1:9">
      <c r="A30">
        <v>1</v>
      </c>
      <c r="B30">
        <v>121.88185268879181</v>
      </c>
      <c r="C30">
        <v>9.4181473112082017</v>
      </c>
      <c r="D30">
        <v>1.271724655640238</v>
      </c>
      <c r="F30">
        <v>0.8771929824561403</v>
      </c>
      <c r="G30">
        <v>40.700000000000003</v>
      </c>
    </row>
    <row r="31" spans="1:9">
      <c r="A31">
        <v>2</v>
      </c>
      <c r="B31">
        <v>100.09257615233176</v>
      </c>
      <c r="C31">
        <v>7.407423847668241</v>
      </c>
      <c r="D31">
        <v>1.0002183264479767</v>
      </c>
      <c r="F31">
        <v>2.6315789473684208</v>
      </c>
      <c r="G31">
        <v>43.9</v>
      </c>
    </row>
    <row r="32" spans="1:9">
      <c r="A32">
        <v>3</v>
      </c>
      <c r="B32">
        <v>77.872515020805793</v>
      </c>
      <c r="C32">
        <v>20.027484979194213</v>
      </c>
      <c r="D32">
        <v>2.7042947616879509</v>
      </c>
      <c r="F32">
        <v>4.3859649122807012</v>
      </c>
      <c r="G32">
        <v>44</v>
      </c>
    </row>
    <row r="33" spans="1:7">
      <c r="A33">
        <v>4</v>
      </c>
      <c r="B33">
        <v>86.69862959216745</v>
      </c>
      <c r="C33">
        <v>27.201370407832556</v>
      </c>
      <c r="D33">
        <v>3.6729785882278492</v>
      </c>
      <c r="F33">
        <v>6.140350877192982</v>
      </c>
      <c r="G33">
        <v>45.9</v>
      </c>
    </row>
    <row r="34" spans="1:7">
      <c r="A34">
        <v>5</v>
      </c>
      <c r="B34">
        <v>71.968492961555413</v>
      </c>
      <c r="C34">
        <v>-14.26849296155541</v>
      </c>
      <c r="D34">
        <v>-1.9266628242738131</v>
      </c>
      <c r="F34">
        <v>7.8947368421052628</v>
      </c>
      <c r="G34">
        <v>45.9</v>
      </c>
    </row>
    <row r="35" spans="1:7">
      <c r="A35">
        <v>6</v>
      </c>
      <c r="B35">
        <v>54.130154944323777</v>
      </c>
      <c r="C35">
        <v>-2.5301549443237761</v>
      </c>
      <c r="D35">
        <v>-0.34164473319050515</v>
      </c>
      <c r="F35">
        <v>9.6491228070175428</v>
      </c>
      <c r="G35">
        <v>49.4</v>
      </c>
    </row>
    <row r="36" spans="1:7">
      <c r="A36">
        <v>7</v>
      </c>
      <c r="B36">
        <v>54.130154944323777</v>
      </c>
      <c r="C36">
        <v>-4.1301549443237775</v>
      </c>
      <c r="D36">
        <v>-0.55769141220166141</v>
      </c>
      <c r="F36">
        <v>11.403508771929824</v>
      </c>
      <c r="G36">
        <v>49.9</v>
      </c>
    </row>
    <row r="37" spans="1:7">
      <c r="A37">
        <v>8</v>
      </c>
      <c r="B37">
        <v>66.363352442240583</v>
      </c>
      <c r="C37">
        <v>10.136647557759417</v>
      </c>
      <c r="D37">
        <v>1.3687431507252923</v>
      </c>
      <c r="F37">
        <v>13.157894736842104</v>
      </c>
      <c r="G37">
        <v>50</v>
      </c>
    </row>
    <row r="38" spans="1:7">
      <c r="A38">
        <v>9</v>
      </c>
      <c r="B38">
        <v>51.29385404769625</v>
      </c>
      <c r="C38">
        <v>-5.3938540476962515</v>
      </c>
      <c r="D38">
        <v>-0.72832765879728545</v>
      </c>
      <c r="F38">
        <v>14.912280701754385</v>
      </c>
      <c r="G38">
        <v>50.7</v>
      </c>
    </row>
    <row r="39" spans="1:7">
      <c r="A39">
        <v>10</v>
      </c>
      <c r="B39">
        <v>51.29385404769625</v>
      </c>
      <c r="C39">
        <v>-5.3938540476962515</v>
      </c>
      <c r="D39">
        <v>-0.72832765879728545</v>
      </c>
      <c r="F39">
        <v>16.666666666666664</v>
      </c>
      <c r="G39">
        <v>50.7</v>
      </c>
    </row>
    <row r="40" spans="1:7">
      <c r="A40">
        <v>11</v>
      </c>
      <c r="B40">
        <v>34.445898906870788</v>
      </c>
      <c r="C40">
        <v>9.5541010931292121</v>
      </c>
      <c r="D40">
        <v>1.2900823825671386</v>
      </c>
      <c r="F40">
        <v>18.421052631578945</v>
      </c>
      <c r="G40">
        <v>51.6</v>
      </c>
    </row>
    <row r="41" spans="1:7">
      <c r="A41">
        <v>12</v>
      </c>
      <c r="B41">
        <v>139.46376263496452</v>
      </c>
      <c r="C41">
        <v>-6.7637626349645359</v>
      </c>
      <c r="D41">
        <v>-0.91330528431489633</v>
      </c>
      <c r="F41">
        <v>20.175438596491226</v>
      </c>
      <c r="G41">
        <v>51.7</v>
      </c>
    </row>
    <row r="42" spans="1:7">
      <c r="A42">
        <v>13</v>
      </c>
      <c r="B42">
        <v>110.74651551199324</v>
      </c>
      <c r="C42">
        <v>-0.14651551199324331</v>
      </c>
      <c r="D42">
        <v>-1.9783868618599636E-2</v>
      </c>
      <c r="F42">
        <v>21.929824561403507</v>
      </c>
      <c r="G42">
        <v>53.5</v>
      </c>
    </row>
    <row r="43" spans="1:7">
      <c r="A43">
        <v>14</v>
      </c>
      <c r="B43">
        <v>85.280078260804345</v>
      </c>
      <c r="C43">
        <v>0.21992173919565516</v>
      </c>
      <c r="D43">
        <v>2.9695850872236803E-2</v>
      </c>
      <c r="F43">
        <v>23.684210526315788</v>
      </c>
      <c r="G43">
        <v>54.1</v>
      </c>
    </row>
    <row r="44" spans="1:7">
      <c r="A44">
        <v>15</v>
      </c>
      <c r="B44">
        <v>98.428850552854414</v>
      </c>
      <c r="C44">
        <v>-6.2288505528544107</v>
      </c>
      <c r="D44">
        <v>-0.84107654750062422</v>
      </c>
      <c r="F44">
        <v>25.438596491228068</v>
      </c>
      <c r="G44">
        <v>55</v>
      </c>
    </row>
    <row r="45" spans="1:7">
      <c r="A45">
        <v>16</v>
      </c>
      <c r="B45">
        <v>98.428850552854414</v>
      </c>
      <c r="C45">
        <v>-4.4288505528544135</v>
      </c>
      <c r="D45">
        <v>-0.59802403361307399</v>
      </c>
      <c r="F45">
        <v>27.192982456140349</v>
      </c>
      <c r="G45">
        <v>56.7</v>
      </c>
    </row>
    <row r="46" spans="1:7">
      <c r="A46">
        <v>17</v>
      </c>
      <c r="B46">
        <v>79.688717360985464</v>
      </c>
      <c r="C46">
        <v>-6.4887173609854614</v>
      </c>
      <c r="D46">
        <v>-0.87616614805183846</v>
      </c>
      <c r="F46">
        <v>28.94736842105263</v>
      </c>
      <c r="G46">
        <v>57.7</v>
      </c>
    </row>
    <row r="47" spans="1:7">
      <c r="A47">
        <v>18</v>
      </c>
      <c r="B47">
        <v>79.688717360985464</v>
      </c>
      <c r="C47">
        <v>-11.488717360985461</v>
      </c>
      <c r="D47">
        <v>-1.551312019961701</v>
      </c>
      <c r="F47">
        <v>30.701754385964911</v>
      </c>
      <c r="G47">
        <v>58.1</v>
      </c>
    </row>
    <row r="48" spans="1:7">
      <c r="A48">
        <v>19</v>
      </c>
      <c r="B48">
        <v>79.688717360985464</v>
      </c>
      <c r="C48">
        <v>-8.9887173609854614</v>
      </c>
      <c r="D48">
        <v>-1.2137390840067697</v>
      </c>
      <c r="F48">
        <v>32.456140350877192</v>
      </c>
      <c r="G48">
        <v>58.6</v>
      </c>
    </row>
    <row r="49" spans="1:7">
      <c r="A49">
        <v>20</v>
      </c>
      <c r="B49">
        <v>60.087014978984655</v>
      </c>
      <c r="C49">
        <v>-6.587014978984655</v>
      </c>
      <c r="D49">
        <v>-0.8894391942539841</v>
      </c>
      <c r="F49">
        <v>34.210526315789465</v>
      </c>
      <c r="G49">
        <v>59.1</v>
      </c>
    </row>
    <row r="50" spans="1:7">
      <c r="A50">
        <v>21</v>
      </c>
      <c r="B50">
        <v>60.087014978984655</v>
      </c>
      <c r="C50">
        <v>-5.9870149789846536</v>
      </c>
      <c r="D50">
        <v>-0.80842168962480032</v>
      </c>
      <c r="F50">
        <v>35.964912280701746</v>
      </c>
      <c r="G50">
        <v>60.2</v>
      </c>
    </row>
    <row r="51" spans="1:7">
      <c r="A51">
        <v>22</v>
      </c>
      <c r="B51">
        <v>60.087014978984655</v>
      </c>
      <c r="C51">
        <v>-3.3870149789846522</v>
      </c>
      <c r="D51">
        <v>-0.45734583623167163</v>
      </c>
      <c r="F51">
        <v>37.719298245614027</v>
      </c>
      <c r="G51">
        <v>60.6</v>
      </c>
    </row>
    <row r="52" spans="1:7">
      <c r="A52">
        <v>23</v>
      </c>
      <c r="B52">
        <v>67.118686455174355</v>
      </c>
      <c r="C52">
        <v>-4.4186864551743525</v>
      </c>
      <c r="D52">
        <v>-0.59665158389499762</v>
      </c>
      <c r="F52">
        <v>39.473684210526308</v>
      </c>
      <c r="G52">
        <v>61.1</v>
      </c>
    </row>
    <row r="53" spans="1:7">
      <c r="A53">
        <v>24</v>
      </c>
      <c r="B53">
        <v>67.118686455174355</v>
      </c>
      <c r="C53">
        <v>-6.518686455174354</v>
      </c>
      <c r="D53">
        <v>-0.88021285009714012</v>
      </c>
      <c r="F53">
        <v>41.228070175438589</v>
      </c>
      <c r="G53">
        <v>62.5</v>
      </c>
    </row>
    <row r="54" spans="1:7">
      <c r="A54">
        <v>25</v>
      </c>
      <c r="B54">
        <v>67.118686455174355</v>
      </c>
      <c r="C54">
        <v>-8.518686455174354</v>
      </c>
      <c r="D54">
        <v>-1.1502711988610852</v>
      </c>
      <c r="F54">
        <v>42.98245614035087</v>
      </c>
      <c r="G54">
        <v>62.7</v>
      </c>
    </row>
    <row r="55" spans="1:7">
      <c r="A55">
        <v>26</v>
      </c>
      <c r="B55">
        <v>67.118686455174355</v>
      </c>
      <c r="C55">
        <v>-6.018686455174354</v>
      </c>
      <c r="D55">
        <v>-0.81269826290615388</v>
      </c>
      <c r="F55">
        <v>44.73684210526315</v>
      </c>
      <c r="G55">
        <v>64.2</v>
      </c>
    </row>
    <row r="56" spans="1:7">
      <c r="A56">
        <v>27</v>
      </c>
      <c r="B56">
        <v>67.118686455174355</v>
      </c>
      <c r="C56">
        <v>-6.9186864551743525</v>
      </c>
      <c r="D56">
        <v>-0.93422451984992894</v>
      </c>
      <c r="F56">
        <v>46.491228070175431</v>
      </c>
      <c r="G56">
        <v>64.5</v>
      </c>
    </row>
    <row r="57" spans="1:7">
      <c r="A57">
        <v>28</v>
      </c>
      <c r="B57">
        <v>67.118686455174355</v>
      </c>
      <c r="C57">
        <v>-8.018686455174354</v>
      </c>
      <c r="D57">
        <v>-1.0827566116700988</v>
      </c>
      <c r="F57">
        <v>48.245614035087712</v>
      </c>
      <c r="G57">
        <v>64.900000000000006</v>
      </c>
    </row>
    <row r="58" spans="1:7">
      <c r="A58">
        <v>29</v>
      </c>
      <c r="B58">
        <v>54.611654479395277</v>
      </c>
      <c r="C58">
        <v>-2.9116544793952741</v>
      </c>
      <c r="D58">
        <v>-0.3931583004383159</v>
      </c>
      <c r="F58">
        <v>49.999999999999993</v>
      </c>
      <c r="G58">
        <v>65</v>
      </c>
    </row>
    <row r="59" spans="1:7">
      <c r="A59">
        <v>30</v>
      </c>
      <c r="B59">
        <v>54.611654479395277</v>
      </c>
      <c r="C59">
        <v>-3.9116544793952741</v>
      </c>
      <c r="D59">
        <v>-0.52818747482028838</v>
      </c>
      <c r="F59">
        <v>51.754385964912274</v>
      </c>
      <c r="G59">
        <v>65.900000000000006</v>
      </c>
    </row>
    <row r="60" spans="1:7">
      <c r="A60">
        <v>31</v>
      </c>
      <c r="B60">
        <v>54.611654479395277</v>
      </c>
      <c r="C60">
        <v>-4.7116544793952784</v>
      </c>
      <c r="D60">
        <v>-0.63621081432586701</v>
      </c>
      <c r="F60">
        <v>53.508771929824555</v>
      </c>
      <c r="G60">
        <v>66</v>
      </c>
    </row>
    <row r="61" spans="1:7">
      <c r="A61">
        <v>32</v>
      </c>
      <c r="B61">
        <v>54.611654479395277</v>
      </c>
      <c r="C61">
        <v>0.38834552060472305</v>
      </c>
      <c r="D61">
        <v>5.2437975022193051E-2</v>
      </c>
      <c r="F61">
        <v>55.263157894736835</v>
      </c>
      <c r="G61">
        <v>68.2</v>
      </c>
    </row>
    <row r="62" spans="1:7">
      <c r="A62">
        <v>33</v>
      </c>
      <c r="B62">
        <v>38.41166866019153</v>
      </c>
      <c r="C62">
        <v>2.2883313398084724</v>
      </c>
      <c r="D62">
        <v>0.30899149152673105</v>
      </c>
      <c r="F62">
        <v>57.017543859649116</v>
      </c>
      <c r="G62">
        <v>70.7</v>
      </c>
    </row>
    <row r="63" spans="1:7">
      <c r="A63">
        <v>34</v>
      </c>
      <c r="B63">
        <v>38.41166866019153</v>
      </c>
      <c r="C63">
        <v>5.4883313398084681</v>
      </c>
      <c r="D63">
        <v>0.74108484954904252</v>
      </c>
      <c r="F63">
        <v>58.771929824561397</v>
      </c>
      <c r="G63">
        <v>73.2</v>
      </c>
    </row>
    <row r="64" spans="1:7">
      <c r="A64">
        <v>35</v>
      </c>
      <c r="B64">
        <v>145.11536117918487</v>
      </c>
      <c r="C64">
        <v>-1.6153611791848732</v>
      </c>
      <c r="D64">
        <v>-0.21812088635402302</v>
      </c>
      <c r="F64">
        <v>60.526315789473678</v>
      </c>
      <c r="G64">
        <v>76.5</v>
      </c>
    </row>
    <row r="65" spans="1:7">
      <c r="A65">
        <v>36</v>
      </c>
      <c r="B65">
        <v>116.24752675878433</v>
      </c>
      <c r="C65">
        <v>-4.1475267587843376</v>
      </c>
      <c r="D65">
        <v>-0.56003711396578759</v>
      </c>
      <c r="F65">
        <v>62.280701754385959</v>
      </c>
      <c r="G65">
        <v>80</v>
      </c>
    </row>
    <row r="66" spans="1:7">
      <c r="A66">
        <v>37</v>
      </c>
      <c r="B66">
        <v>89.948854609488308</v>
      </c>
      <c r="C66">
        <v>-0.548854609488302</v>
      </c>
      <c r="D66">
        <v>-7.411138477494536E-2</v>
      </c>
      <c r="F66">
        <v>64.035087719298247</v>
      </c>
      <c r="G66">
        <v>81.7</v>
      </c>
    </row>
    <row r="67" spans="1:7">
      <c r="A67">
        <v>38</v>
      </c>
      <c r="B67">
        <v>110.34099461087122</v>
      </c>
      <c r="C67">
        <v>5.2590053891287738</v>
      </c>
      <c r="D67">
        <v>0.71011915576440243</v>
      </c>
      <c r="F67">
        <v>65.78947368421052</v>
      </c>
      <c r="G67">
        <v>83.5</v>
      </c>
    </row>
    <row r="68" spans="1:7">
      <c r="A68">
        <v>39</v>
      </c>
      <c r="B68">
        <v>110.34099461087122</v>
      </c>
      <c r="C68">
        <v>3.8590053891287823</v>
      </c>
      <c r="D68">
        <v>0.52107831162964213</v>
      </c>
      <c r="F68">
        <v>67.543859649122794</v>
      </c>
      <c r="G68">
        <v>83.6</v>
      </c>
    </row>
    <row r="69" spans="1:7">
      <c r="A69">
        <v>40</v>
      </c>
      <c r="B69">
        <v>110.34099461087122</v>
      </c>
      <c r="C69">
        <v>4.7590053891287738</v>
      </c>
      <c r="D69">
        <v>0.64260456857341619</v>
      </c>
      <c r="F69">
        <v>69.298245614035082</v>
      </c>
      <c r="G69">
        <v>84.6</v>
      </c>
    </row>
    <row r="70" spans="1:7">
      <c r="A70">
        <v>41</v>
      </c>
      <c r="B70">
        <v>86.204590331477121</v>
      </c>
      <c r="C70">
        <v>-0.1045903314771266</v>
      </c>
      <c r="D70">
        <v>-1.4122746107693237E-2</v>
      </c>
      <c r="F70">
        <v>71.052631578947356</v>
      </c>
      <c r="G70">
        <v>84.7</v>
      </c>
    </row>
    <row r="71" spans="1:7">
      <c r="A71">
        <v>42</v>
      </c>
      <c r="B71">
        <v>86.204590331477121</v>
      </c>
      <c r="C71">
        <v>-2.7045903314771209</v>
      </c>
      <c r="D71">
        <v>-0.36519859950082101</v>
      </c>
      <c r="F71">
        <v>72.807017543859644</v>
      </c>
      <c r="G71">
        <v>85.5</v>
      </c>
    </row>
    <row r="72" spans="1:7">
      <c r="A72">
        <v>43</v>
      </c>
      <c r="B72">
        <v>86.204590331477121</v>
      </c>
      <c r="C72">
        <v>-1.6045903314771266</v>
      </c>
      <c r="D72">
        <v>-0.21666650768065202</v>
      </c>
      <c r="F72">
        <v>74.561403508771917</v>
      </c>
      <c r="G72">
        <v>86.1</v>
      </c>
    </row>
    <row r="73" spans="1:7">
      <c r="A73">
        <v>44</v>
      </c>
      <c r="B73">
        <v>86.204590331477121</v>
      </c>
      <c r="C73">
        <v>-1.5045903314771181</v>
      </c>
      <c r="D73">
        <v>-0.20316359024245362</v>
      </c>
      <c r="F73">
        <v>76.315789473684205</v>
      </c>
      <c r="G73">
        <v>89.4</v>
      </c>
    </row>
    <row r="74" spans="1:7">
      <c r="A74">
        <v>45</v>
      </c>
      <c r="B74">
        <v>64.862059659797168</v>
      </c>
      <c r="C74">
        <v>1.1379403402028316</v>
      </c>
      <c r="D74">
        <v>0.15365514463352928</v>
      </c>
      <c r="F74">
        <v>78.070175438596479</v>
      </c>
      <c r="G74">
        <v>92.2</v>
      </c>
    </row>
    <row r="75" spans="1:7">
      <c r="A75">
        <v>46</v>
      </c>
      <c r="B75">
        <v>64.862059659797168</v>
      </c>
      <c r="C75">
        <v>-0.36205965979716837</v>
      </c>
      <c r="D75">
        <v>-4.8888616939429495E-2</v>
      </c>
      <c r="F75">
        <v>79.824561403508767</v>
      </c>
      <c r="G75">
        <v>94</v>
      </c>
    </row>
    <row r="76" spans="1:7">
      <c r="A76">
        <v>47</v>
      </c>
      <c r="B76">
        <v>64.862059659797168</v>
      </c>
      <c r="C76">
        <v>-2.3620596597971684</v>
      </c>
      <c r="D76">
        <v>-0.31894696570337455</v>
      </c>
      <c r="F76">
        <v>81.578947368421041</v>
      </c>
      <c r="G76">
        <v>97.9</v>
      </c>
    </row>
    <row r="77" spans="1:7">
      <c r="A77">
        <v>48</v>
      </c>
      <c r="B77">
        <v>64.862059659797168</v>
      </c>
      <c r="C77">
        <v>-6.7620596597971669</v>
      </c>
      <c r="D77">
        <v>-0.91307533298405341</v>
      </c>
      <c r="F77">
        <v>83.333333333333329</v>
      </c>
      <c r="G77">
        <v>107.5</v>
      </c>
    </row>
    <row r="78" spans="1:7">
      <c r="A78">
        <v>49</v>
      </c>
      <c r="B78">
        <v>74.975848416917032</v>
      </c>
      <c r="C78">
        <v>5.0241515830829684</v>
      </c>
      <c r="D78">
        <v>0.67840704023357346</v>
      </c>
      <c r="F78">
        <v>85.087719298245602</v>
      </c>
      <c r="G78">
        <v>110.6</v>
      </c>
    </row>
    <row r="79" spans="1:7">
      <c r="A79">
        <v>50</v>
      </c>
      <c r="B79">
        <v>74.975848416917032</v>
      </c>
      <c r="C79">
        <v>8.6241515830829627</v>
      </c>
      <c r="D79">
        <v>1.1645120680086738</v>
      </c>
      <c r="F79">
        <v>86.84210526315789</v>
      </c>
      <c r="G79">
        <v>112.1</v>
      </c>
    </row>
    <row r="80" spans="1:7">
      <c r="A80">
        <v>51</v>
      </c>
      <c r="B80">
        <v>74.975848416917032</v>
      </c>
      <c r="C80">
        <v>6.7241515830829712</v>
      </c>
      <c r="D80">
        <v>0.90795663668292714</v>
      </c>
      <c r="F80">
        <v>88.596491228070164</v>
      </c>
      <c r="G80">
        <v>113.9</v>
      </c>
    </row>
    <row r="81" spans="1:7">
      <c r="A81">
        <v>52</v>
      </c>
      <c r="B81">
        <v>59.284858569639177</v>
      </c>
      <c r="C81">
        <v>6.6151414303608291</v>
      </c>
      <c r="D81">
        <v>0.89323708576160354</v>
      </c>
      <c r="F81">
        <v>90.350877192982452</v>
      </c>
      <c r="G81">
        <v>114.2</v>
      </c>
    </row>
    <row r="82" spans="1:7">
      <c r="A82">
        <v>53</v>
      </c>
      <c r="B82">
        <v>59.284858569639177</v>
      </c>
      <c r="C82">
        <v>5.6151414303608291</v>
      </c>
      <c r="D82">
        <v>0.75820791137963106</v>
      </c>
      <c r="F82">
        <v>92.105263157894726</v>
      </c>
      <c r="G82">
        <v>115.1</v>
      </c>
    </row>
    <row r="83" spans="1:7">
      <c r="A83">
        <v>54</v>
      </c>
      <c r="B83">
        <v>59.284858569639177</v>
      </c>
      <c r="C83">
        <v>5.7151414303608234</v>
      </c>
      <c r="D83">
        <v>0.77171082881782749</v>
      </c>
      <c r="F83">
        <v>93.859649122807014</v>
      </c>
      <c r="G83">
        <v>115.6</v>
      </c>
    </row>
    <row r="84" spans="1:7">
      <c r="A84">
        <v>55</v>
      </c>
      <c r="B84">
        <v>59.284858569639177</v>
      </c>
      <c r="C84">
        <v>4.9151414303608263</v>
      </c>
      <c r="D84">
        <v>0.66368748931224986</v>
      </c>
      <c r="F84">
        <v>95.614035087719287</v>
      </c>
      <c r="G84">
        <v>131.30000000000001</v>
      </c>
    </row>
    <row r="85" spans="1:7">
      <c r="A85">
        <v>56</v>
      </c>
      <c r="B85">
        <v>42.301514937163489</v>
      </c>
      <c r="C85">
        <v>8.3984850628365137</v>
      </c>
      <c r="D85">
        <v>1.134040504094143</v>
      </c>
      <c r="F85">
        <v>97.368421052631575</v>
      </c>
      <c r="G85">
        <v>132.69999999999999</v>
      </c>
    </row>
    <row r="86" spans="1:7" ht="15.6" thickBot="1">
      <c r="A86" s="26">
        <v>57</v>
      </c>
      <c r="B86" s="26">
        <v>42.301514937163489</v>
      </c>
      <c r="C86" s="26">
        <v>7.0984850628365095</v>
      </c>
      <c r="D86" s="26">
        <v>0.95850257739757827</v>
      </c>
      <c r="F86" s="26">
        <v>99.122807017543849</v>
      </c>
      <c r="G86" s="26">
        <v>143.5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design_s2-dip_s2</vt:lpstr>
      <vt:lpstr>det_s2(3params)</vt:lpstr>
      <vt:lpstr>Sheet0</vt:lpstr>
      <vt:lpstr>test</vt:lpstr>
      <vt:lpstr>det_s2</vt:lpstr>
      <vt:lpstr>det_s3</vt:lpstr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2025-08-13T02:37:53Z</dcterms:created>
  <dcterms:modified xsi:type="dcterms:W3CDTF">2025-09-03T23:42:17Z</dcterms:modified>
</cp:coreProperties>
</file>