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chih\Desktop\NTHU\MasterThesis\GA\SGM_GA\printing\regression\"/>
    </mc:Choice>
  </mc:AlternateContent>
  <xr:revisionPtr revIDLastSave="0" documentId="13_ncr:1_{779CF557-C282-46F6-91D0-524C1EB20E0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OSO_Dimension_Details" sheetId="1" r:id="rId1"/>
  </sheets>
  <definedNames>
    <definedName name="_xlchart.v1.0" hidden="1">LOSO_Dimension_Details!$P$2:$P$22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" i="1"/>
</calcChain>
</file>

<file path=xl/sharedStrings.xml><?xml version="1.0" encoding="utf-8"?>
<sst xmlns="http://schemas.openxmlformats.org/spreadsheetml/2006/main" count="15" uniqueCount="15">
  <si>
    <t>Design_s1(mm)</t>
  </si>
  <si>
    <t>Design_s2(mm)</t>
  </si>
  <si>
    <t>Design_s3(mm)</t>
  </si>
  <si>
    <t>Design_a3(deg)</t>
  </si>
  <si>
    <t>Design_a1(deg)</t>
  </si>
  <si>
    <t>Design_a2(deg)</t>
  </si>
  <si>
    <t>Actual_DIP_s2(mm)</t>
  </si>
  <si>
    <t>Predicted_DIP_s2(mm)</t>
  </si>
  <si>
    <t>Error_s2(mm)</t>
  </si>
  <si>
    <t>Actual_DIP_s3(mm)</t>
  </si>
  <si>
    <t>Predicted_DIP_s3(mm)</t>
  </si>
  <si>
    <t>Error_s3(mm)</t>
  </si>
  <si>
    <t>Actual_DIP_a3(deg)</t>
  </si>
  <si>
    <t>Predicted_DIP_a3(deg)</t>
  </si>
  <si>
    <t>Error_a3(deg)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</si>
</sst>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"/>
    <numFmt numFmtId="177" formatCode="0.0"/>
    <numFmt numFmtId="178" formatCode="0.0_ "/>
  </numFmts>
  <fonts count="3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2" fontId="0" fillId="0" borderId="0" xfId="0" applyNumberFormat="1"/>
    <xf numFmtId="177" fontId="0" fillId="0" borderId="0" xfId="0" applyNumberFormat="1"/>
    <xf numFmtId="178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32761086-64A8-442B-8496-9D94A86018E9}">
          <cx:dataId val="0"/>
          <cx:layoutPr>
            <cx:binning intervalClosed="r" underflow="auto" overflow="auto">
              <cx:binSize val="2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320040</xdr:colOff>
      <xdr:row>12</xdr:row>
      <xdr:rowOff>173355</xdr:rowOff>
    </xdr:from>
    <xdr:to>
      <xdr:col>27</xdr:col>
      <xdr:colOff>472440</xdr:colOff>
      <xdr:row>27</xdr:row>
      <xdr:rowOff>59055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圖表 2">
              <a:extLst>
                <a:ext uri="{FF2B5EF4-FFF2-40B4-BE49-F238E27FC236}">
                  <a16:creationId xmlns:a16="http://schemas.microsoft.com/office/drawing/2014/main" id="{B45C6BCE-8817-18D5-0E2A-EE473DD26DB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983200" y="245554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此圖表在您的 Excel 版本中無法使用。
若編輯此圖案或將此活頁簿儲存為不同格式，將永久破壞圖表。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tabSelected="1" workbookViewId="0">
      <selection activeCell="P1" sqref="P1"/>
    </sheetView>
  </sheetViews>
  <sheetFormatPr defaultRowHeight="15"/>
  <cols>
    <col min="4" max="4" width="18.75" bestFit="1" customWidth="1"/>
    <col min="9" max="9" width="17.125" bestFit="1" customWidth="1"/>
    <col min="10" max="10" width="24.375" bestFit="1" customWidth="1"/>
    <col min="11" max="11" width="27.75" bestFit="1" customWidth="1"/>
    <col min="12" max="12" width="17.125" bestFit="1" customWidth="1"/>
    <col min="13" max="13" width="24.375" bestFit="1" customWidth="1"/>
    <col min="14" max="14" width="24.375" customWidth="1"/>
    <col min="15" max="15" width="27.75" bestFit="1" customWidth="1"/>
    <col min="16" max="16" width="17.125" bestFit="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 t="s">
        <v>13</v>
      </c>
      <c r="P1" s="1" t="s">
        <v>14</v>
      </c>
    </row>
    <row r="2" spans="1:19">
      <c r="A2">
        <v>0.3</v>
      </c>
      <c r="B2">
        <v>0.6</v>
      </c>
      <c r="C2">
        <v>0.51961524227066314</v>
      </c>
      <c r="D2" s="3">
        <v>30</v>
      </c>
      <c r="E2">
        <v>60</v>
      </c>
      <c r="F2">
        <v>90</v>
      </c>
      <c r="G2">
        <v>0.28169642857142863</v>
      </c>
      <c r="H2">
        <v>0.17004716962488081</v>
      </c>
      <c r="I2">
        <v>-0.1116492589465478</v>
      </c>
      <c r="J2" s="2">
        <v>0.25428571428571428</v>
      </c>
      <c r="K2">
        <v>0.1792812653200975</v>
      </c>
      <c r="L2">
        <v>-7.5004448965616782E-2</v>
      </c>
      <c r="M2">
        <v>57.7</v>
      </c>
      <c r="N2" s="5">
        <f t="shared" ref="N2:N22" si="0">M2-D2</f>
        <v>27.700000000000003</v>
      </c>
      <c r="O2">
        <v>59.197061047378369</v>
      </c>
      <c r="P2" s="4">
        <v>1.497061047378367</v>
      </c>
      <c r="Q2">
        <f t="shared" ref="Q2:Q22" si="1">ABS(I2)</f>
        <v>0.1116492589465478</v>
      </c>
      <c r="R2">
        <f>ABS(L2)</f>
        <v>7.5004448965616782E-2</v>
      </c>
      <c r="S2">
        <f>ABS(P2)</f>
        <v>1.497061047378367</v>
      </c>
    </row>
    <row r="3" spans="1:19">
      <c r="A3">
        <v>0.3</v>
      </c>
      <c r="B3">
        <v>0.9</v>
      </c>
      <c r="C3">
        <v>0.79372539331937708</v>
      </c>
      <c r="D3" s="3">
        <v>19.106605350869071</v>
      </c>
      <c r="E3">
        <v>60</v>
      </c>
      <c r="F3">
        <v>100.8933946491309</v>
      </c>
      <c r="G3">
        <v>0.36035714285714282</v>
      </c>
      <c r="H3">
        <v>0.35948273399288322</v>
      </c>
      <c r="I3">
        <v>-8.7440886425960151E-4</v>
      </c>
      <c r="J3" s="2">
        <v>0.27223214285714281</v>
      </c>
      <c r="K3">
        <v>0.33617888110014538</v>
      </c>
      <c r="L3">
        <v>6.3946738243002565E-2</v>
      </c>
      <c r="M3">
        <v>45.9</v>
      </c>
      <c r="N3" s="5">
        <f t="shared" si="0"/>
        <v>26.793394649130928</v>
      </c>
      <c r="O3">
        <v>45.124518304202738</v>
      </c>
      <c r="P3" s="4">
        <v>-0.77548169579726078</v>
      </c>
      <c r="Q3">
        <f t="shared" si="1"/>
        <v>8.7440886425960151E-4</v>
      </c>
      <c r="R3">
        <f t="shared" ref="R3:R22" si="2">ABS(L3)</f>
        <v>6.3946738243002565E-2</v>
      </c>
      <c r="S3">
        <f t="shared" ref="S3:S22" si="3">ABS(P3)</f>
        <v>0.77548169579726078</v>
      </c>
    </row>
    <row r="4" spans="1:19">
      <c r="A4">
        <v>0.3</v>
      </c>
      <c r="B4">
        <v>0.9</v>
      </c>
      <c r="C4">
        <v>0.94868329805051377</v>
      </c>
      <c r="D4" s="3">
        <v>18.434948822921999</v>
      </c>
      <c r="E4">
        <v>90</v>
      </c>
      <c r="F4">
        <v>71.565051177078004</v>
      </c>
      <c r="G4">
        <v>0.3423214285714285</v>
      </c>
      <c r="H4">
        <v>0.48369898645217402</v>
      </c>
      <c r="I4">
        <v>0.14137755788074549</v>
      </c>
      <c r="J4" s="2">
        <v>0.35544642857142861</v>
      </c>
      <c r="K4">
        <v>0.54150447581249495</v>
      </c>
      <c r="L4">
        <v>0.18605804724106639</v>
      </c>
      <c r="M4">
        <v>44</v>
      </c>
      <c r="N4" s="5">
        <f t="shared" si="0"/>
        <v>25.565051177078001</v>
      </c>
      <c r="O4">
        <v>36.71503975768973</v>
      </c>
      <c r="P4" s="4">
        <v>-7.2849602423102704</v>
      </c>
      <c r="Q4">
        <f t="shared" si="1"/>
        <v>0.14137755788074549</v>
      </c>
      <c r="R4">
        <f t="shared" si="2"/>
        <v>0.18605804724106639</v>
      </c>
      <c r="S4">
        <f t="shared" si="3"/>
        <v>7.2849602423102704</v>
      </c>
    </row>
    <row r="5" spans="1:19">
      <c r="A5">
        <v>0.6</v>
      </c>
      <c r="B5">
        <v>0.3</v>
      </c>
      <c r="C5">
        <v>0.37179410247824268</v>
      </c>
      <c r="D5" s="3">
        <v>126.2060231130031</v>
      </c>
      <c r="E5">
        <v>30</v>
      </c>
      <c r="F5">
        <v>23.79397688699687</v>
      </c>
      <c r="G5">
        <v>0.26973214285714281</v>
      </c>
      <c r="H5">
        <v>0.28612838208536723</v>
      </c>
      <c r="I5">
        <v>1.6396239228224418E-2</v>
      </c>
      <c r="J5" s="2">
        <v>0.32276785714285711</v>
      </c>
      <c r="K5">
        <v>0.31797189897772871</v>
      </c>
      <c r="L5">
        <v>-4.7959581651284E-3</v>
      </c>
      <c r="M5">
        <v>132.69999999999999</v>
      </c>
      <c r="N5" s="5">
        <f t="shared" si="0"/>
        <v>6.4939768869968901</v>
      </c>
      <c r="O5">
        <v>135.02911769059941</v>
      </c>
      <c r="P5" s="4">
        <v>2.3291176905994182</v>
      </c>
      <c r="Q5">
        <f t="shared" si="1"/>
        <v>1.6396239228224418E-2</v>
      </c>
      <c r="R5">
        <f t="shared" si="2"/>
        <v>4.7959581651284E-3</v>
      </c>
      <c r="S5">
        <f t="shared" si="3"/>
        <v>2.3291176905994182</v>
      </c>
    </row>
    <row r="6" spans="1:19">
      <c r="A6">
        <v>0.6</v>
      </c>
      <c r="B6">
        <v>0.3</v>
      </c>
      <c r="C6">
        <v>0.51961524227066314</v>
      </c>
      <c r="D6" s="3">
        <v>90</v>
      </c>
      <c r="E6">
        <v>60</v>
      </c>
      <c r="F6">
        <v>29.999999999999989</v>
      </c>
      <c r="G6">
        <v>0.25812499999999999</v>
      </c>
      <c r="H6">
        <v>0.24758909444767771</v>
      </c>
      <c r="I6">
        <v>-1.0535905552322309E-2</v>
      </c>
      <c r="J6" s="2">
        <v>0.41955357142857141</v>
      </c>
      <c r="K6">
        <v>0.42381538119207463</v>
      </c>
      <c r="L6">
        <v>4.2618097635032104E-3</v>
      </c>
      <c r="M6">
        <v>110.6</v>
      </c>
      <c r="N6" s="5">
        <f t="shared" si="0"/>
        <v>20.599999999999994</v>
      </c>
      <c r="O6">
        <v>104.4185445456321</v>
      </c>
      <c r="P6" s="4">
        <v>-6.1814554543679074</v>
      </c>
      <c r="Q6">
        <f t="shared" si="1"/>
        <v>1.0535905552322309E-2</v>
      </c>
      <c r="R6">
        <f t="shared" si="2"/>
        <v>4.2618097635032104E-3</v>
      </c>
      <c r="S6">
        <f t="shared" si="3"/>
        <v>6.1814554543679074</v>
      </c>
    </row>
    <row r="7" spans="1:19">
      <c r="A7">
        <v>0.6</v>
      </c>
      <c r="B7">
        <v>0.3</v>
      </c>
      <c r="C7">
        <v>0.67082039324993692</v>
      </c>
      <c r="D7" s="3">
        <v>63.434948822922017</v>
      </c>
      <c r="E7">
        <v>90</v>
      </c>
      <c r="F7">
        <v>26.565051177077979</v>
      </c>
      <c r="G7">
        <v>0.2236607142857143</v>
      </c>
      <c r="H7">
        <v>0.23461927912963521</v>
      </c>
      <c r="I7">
        <v>1.095856484392096E-2</v>
      </c>
      <c r="J7" s="2">
        <v>0.50964285714285706</v>
      </c>
      <c r="K7">
        <v>0.50822520711475461</v>
      </c>
      <c r="L7">
        <v>-1.4176500281024569E-3</v>
      </c>
      <c r="M7">
        <v>85.5</v>
      </c>
      <c r="N7" s="5">
        <f t="shared" si="0"/>
        <v>22.065051177077983</v>
      </c>
      <c r="O7">
        <v>85.753134486322253</v>
      </c>
      <c r="P7" s="4">
        <v>0.25313448632225288</v>
      </c>
      <c r="Q7">
        <f t="shared" si="1"/>
        <v>1.095856484392096E-2</v>
      </c>
      <c r="R7">
        <f t="shared" si="2"/>
        <v>1.4176500281024569E-3</v>
      </c>
      <c r="S7">
        <f t="shared" si="3"/>
        <v>0.25313448632225288</v>
      </c>
    </row>
    <row r="8" spans="1:19">
      <c r="A8">
        <v>0.6</v>
      </c>
      <c r="B8">
        <v>0.6</v>
      </c>
      <c r="C8">
        <v>0.31058285412302489</v>
      </c>
      <c r="D8" s="3">
        <v>75</v>
      </c>
      <c r="E8">
        <v>30</v>
      </c>
      <c r="F8">
        <v>75</v>
      </c>
      <c r="G8">
        <v>0.48304936214289018</v>
      </c>
      <c r="H8">
        <v>0.27907162514931722</v>
      </c>
      <c r="I8">
        <v>-0.20397773699357299</v>
      </c>
      <c r="J8" s="2">
        <v>0.24603923748974971</v>
      </c>
      <c r="K8">
        <v>0.25356334147113901</v>
      </c>
      <c r="L8">
        <v>7.5241039813892241E-3</v>
      </c>
      <c r="M8">
        <v>94</v>
      </c>
      <c r="N8" s="5">
        <f t="shared" si="0"/>
        <v>19</v>
      </c>
      <c r="O8">
        <v>89.882835310949687</v>
      </c>
      <c r="P8" s="4">
        <v>-4.1171646890503126</v>
      </c>
      <c r="Q8">
        <f t="shared" si="1"/>
        <v>0.20397773699357299</v>
      </c>
      <c r="R8">
        <f t="shared" si="2"/>
        <v>7.5241039813892241E-3</v>
      </c>
      <c r="S8">
        <f t="shared" si="3"/>
        <v>4.1171646890503126</v>
      </c>
    </row>
    <row r="9" spans="1:19">
      <c r="A9">
        <v>0.6</v>
      </c>
      <c r="B9">
        <v>0.6</v>
      </c>
      <c r="C9">
        <v>0.6</v>
      </c>
      <c r="D9" s="3">
        <v>60.000000000000007</v>
      </c>
      <c r="E9">
        <v>60</v>
      </c>
      <c r="F9">
        <v>59.999999999999993</v>
      </c>
      <c r="G9">
        <v>0.42613712141439752</v>
      </c>
      <c r="H9">
        <v>0.4787049351098962</v>
      </c>
      <c r="I9">
        <v>5.2567813695498733E-2</v>
      </c>
      <c r="J9" s="2">
        <v>0.48541562114989012</v>
      </c>
      <c r="K9">
        <v>0.48371804771754667</v>
      </c>
      <c r="L9">
        <v>-1.697573432343447E-3</v>
      </c>
      <c r="M9">
        <v>73.2</v>
      </c>
      <c r="N9" s="5">
        <f t="shared" si="0"/>
        <v>13.199999999999996</v>
      </c>
      <c r="O9">
        <v>75.102013421420196</v>
      </c>
      <c r="P9" s="4">
        <v>1.9020134214201929</v>
      </c>
      <c r="Q9">
        <f t="shared" si="1"/>
        <v>5.2567813695498733E-2</v>
      </c>
      <c r="R9">
        <f t="shared" si="2"/>
        <v>1.697573432343447E-3</v>
      </c>
      <c r="S9">
        <f t="shared" si="3"/>
        <v>1.9020134214201929</v>
      </c>
    </row>
    <row r="10" spans="1:19">
      <c r="A10">
        <v>0.6</v>
      </c>
      <c r="B10">
        <v>0.6</v>
      </c>
      <c r="C10">
        <v>0.84852813742385702</v>
      </c>
      <c r="D10" s="3">
        <v>45.000000000000007</v>
      </c>
      <c r="E10">
        <v>90</v>
      </c>
      <c r="F10">
        <v>44.999999999999993</v>
      </c>
      <c r="G10">
        <v>0.43912684470717162</v>
      </c>
      <c r="H10">
        <v>0.43036388827847039</v>
      </c>
      <c r="I10">
        <v>-8.7629564287011186E-3</v>
      </c>
      <c r="J10" s="2">
        <v>0.64933896469753349</v>
      </c>
      <c r="K10">
        <v>0.6177109740629394</v>
      </c>
      <c r="L10">
        <v>-3.1627990634594087E-2</v>
      </c>
      <c r="M10">
        <v>56.7</v>
      </c>
      <c r="N10" s="5">
        <f t="shared" si="0"/>
        <v>11.699999999999996</v>
      </c>
      <c r="O10">
        <v>61.894208091831743</v>
      </c>
      <c r="P10" s="4">
        <v>5.1942080918317401</v>
      </c>
      <c r="Q10">
        <f t="shared" si="1"/>
        <v>8.7629564287011186E-3</v>
      </c>
      <c r="R10">
        <f t="shared" si="2"/>
        <v>3.1627990634594087E-2</v>
      </c>
      <c r="S10">
        <f t="shared" si="3"/>
        <v>5.1942080918317401</v>
      </c>
    </row>
    <row r="11" spans="1:19">
      <c r="A11">
        <v>0.6</v>
      </c>
      <c r="B11">
        <v>0.9</v>
      </c>
      <c r="C11">
        <v>0.48445078585219159</v>
      </c>
      <c r="D11" s="3">
        <v>38.261966199709804</v>
      </c>
      <c r="E11">
        <v>30</v>
      </c>
      <c r="F11">
        <v>111.7380338002902</v>
      </c>
      <c r="G11">
        <v>0.6169454166414573</v>
      </c>
      <c r="H11">
        <v>0.78851314138212036</v>
      </c>
      <c r="I11">
        <v>0.17156772474066309</v>
      </c>
      <c r="J11" s="2">
        <v>0.27770413584121711</v>
      </c>
      <c r="K11">
        <v>0.36919242815484021</v>
      </c>
      <c r="L11">
        <v>9.1488292313623099E-2</v>
      </c>
      <c r="M11">
        <v>60.6</v>
      </c>
      <c r="N11" s="5">
        <f t="shared" si="0"/>
        <v>22.338033800290198</v>
      </c>
      <c r="O11">
        <v>62.652721571788689</v>
      </c>
      <c r="P11" s="4">
        <v>2.052721571788688</v>
      </c>
      <c r="Q11">
        <f t="shared" si="1"/>
        <v>0.17156772474066309</v>
      </c>
      <c r="R11">
        <f t="shared" si="2"/>
        <v>9.1488292313623099E-2</v>
      </c>
      <c r="S11">
        <f t="shared" si="3"/>
        <v>2.052721571788688</v>
      </c>
    </row>
    <row r="12" spans="1:19">
      <c r="A12">
        <v>0.6</v>
      </c>
      <c r="B12">
        <v>0.9</v>
      </c>
      <c r="C12">
        <v>0.79372539331937708</v>
      </c>
      <c r="D12" s="3">
        <v>40.893394649130897</v>
      </c>
      <c r="E12">
        <v>60</v>
      </c>
      <c r="F12">
        <v>79.106605350869103</v>
      </c>
      <c r="G12">
        <v>0.65960027178338532</v>
      </c>
      <c r="H12">
        <v>0.55697732359911434</v>
      </c>
      <c r="I12">
        <v>-0.10262294818427101</v>
      </c>
      <c r="J12" s="2">
        <v>0.59858429092339327</v>
      </c>
      <c r="K12">
        <v>0.54242643208674002</v>
      </c>
      <c r="L12">
        <v>-5.6157858836653252E-2</v>
      </c>
      <c r="M12">
        <v>51.7</v>
      </c>
      <c r="N12" s="5">
        <f t="shared" si="0"/>
        <v>10.806605350869106</v>
      </c>
      <c r="O12">
        <v>54.230332395800872</v>
      </c>
      <c r="P12" s="4">
        <v>2.530332395800869</v>
      </c>
      <c r="Q12">
        <f t="shared" si="1"/>
        <v>0.10262294818427101</v>
      </c>
      <c r="R12">
        <f t="shared" si="2"/>
        <v>5.6157858836653252E-2</v>
      </c>
      <c r="S12">
        <f t="shared" si="3"/>
        <v>2.530332395800869</v>
      </c>
    </row>
    <row r="13" spans="1:19">
      <c r="A13">
        <v>0.6</v>
      </c>
      <c r="B13">
        <v>0.9</v>
      </c>
      <c r="C13">
        <v>1.0816653826391971</v>
      </c>
      <c r="D13" s="3">
        <v>33.690067525979792</v>
      </c>
      <c r="E13">
        <v>90</v>
      </c>
      <c r="F13">
        <v>56.309932474020208</v>
      </c>
      <c r="G13">
        <v>0.66407929469847049</v>
      </c>
      <c r="H13">
        <v>0.56582684525495708</v>
      </c>
      <c r="I13">
        <v>-9.8252449443513412E-2</v>
      </c>
      <c r="J13" s="2">
        <v>0.82382506504712993</v>
      </c>
      <c r="K13">
        <v>0.74485299272849492</v>
      </c>
      <c r="L13">
        <v>-7.8972072318635012E-2</v>
      </c>
      <c r="M13">
        <v>43.9</v>
      </c>
      <c r="N13" s="5">
        <f t="shared" si="0"/>
        <v>10.209932474020206</v>
      </c>
      <c r="O13">
        <v>46.033906373913133</v>
      </c>
      <c r="P13" s="4">
        <v>2.1339063739131281</v>
      </c>
      <c r="Q13">
        <f t="shared" si="1"/>
        <v>9.8252449443513412E-2</v>
      </c>
      <c r="R13">
        <f t="shared" si="2"/>
        <v>7.8972072318635012E-2</v>
      </c>
      <c r="S13">
        <f t="shared" si="3"/>
        <v>2.1339063739131281</v>
      </c>
    </row>
    <row r="14" spans="1:19">
      <c r="A14">
        <v>0.9</v>
      </c>
      <c r="B14">
        <v>0.3</v>
      </c>
      <c r="C14">
        <v>0.65753044184767828</v>
      </c>
      <c r="D14" s="3">
        <v>136.81321456798651</v>
      </c>
      <c r="E14">
        <v>30</v>
      </c>
      <c r="F14">
        <v>13.18678543201352</v>
      </c>
      <c r="G14">
        <v>0.27321428571428569</v>
      </c>
      <c r="H14">
        <v>0.29543438305249731</v>
      </c>
      <c r="I14">
        <v>2.222009733821162E-2</v>
      </c>
      <c r="J14" s="2">
        <v>0.58142857142857141</v>
      </c>
      <c r="K14">
        <v>0.63075742580163652</v>
      </c>
      <c r="L14">
        <v>4.9328854373065112E-2</v>
      </c>
      <c r="M14">
        <v>143.5</v>
      </c>
      <c r="N14" s="5">
        <f t="shared" si="0"/>
        <v>6.6867854320134938</v>
      </c>
      <c r="O14">
        <v>139.69501270723879</v>
      </c>
      <c r="P14" s="4">
        <v>-3.8049872927612109</v>
      </c>
      <c r="Q14">
        <f t="shared" si="1"/>
        <v>2.222009733821162E-2</v>
      </c>
      <c r="R14">
        <f t="shared" si="2"/>
        <v>4.9328854373065112E-2</v>
      </c>
      <c r="S14">
        <f t="shared" si="3"/>
        <v>3.8049872927612109</v>
      </c>
    </row>
    <row r="15" spans="1:19">
      <c r="A15">
        <v>0.9</v>
      </c>
      <c r="B15">
        <v>0.3</v>
      </c>
      <c r="C15">
        <v>0.79372539331937708</v>
      </c>
      <c r="D15" s="3">
        <v>100.8933946491309</v>
      </c>
      <c r="E15">
        <v>60</v>
      </c>
      <c r="F15">
        <v>19.106605350869089</v>
      </c>
      <c r="G15">
        <v>0.2815178571428571</v>
      </c>
      <c r="H15">
        <v>0.26356579593170593</v>
      </c>
      <c r="I15">
        <v>-1.7952061211151171E-2</v>
      </c>
      <c r="J15" s="2">
        <v>0.68589285714285708</v>
      </c>
      <c r="K15">
        <v>0.66002284385453069</v>
      </c>
      <c r="L15">
        <v>-2.5870013288326391E-2</v>
      </c>
      <c r="M15">
        <v>112.1</v>
      </c>
      <c r="N15" s="5">
        <f t="shared" si="0"/>
        <v>11.206605350869097</v>
      </c>
      <c r="O15">
        <v>115.92956420385271</v>
      </c>
      <c r="P15" s="4">
        <v>3.829564203852684</v>
      </c>
      <c r="Q15">
        <f t="shared" si="1"/>
        <v>1.7952061211151171E-2</v>
      </c>
      <c r="R15">
        <f t="shared" si="2"/>
        <v>2.5870013288326391E-2</v>
      </c>
      <c r="S15">
        <f t="shared" si="3"/>
        <v>3.829564203852684</v>
      </c>
    </row>
    <row r="16" spans="1:19">
      <c r="A16">
        <v>0.9</v>
      </c>
      <c r="B16">
        <v>0.3</v>
      </c>
      <c r="C16">
        <v>0.94868329805051377</v>
      </c>
      <c r="D16" s="3">
        <v>71.565051177077976</v>
      </c>
      <c r="E16">
        <v>90</v>
      </c>
      <c r="F16">
        <v>18.434948822922021</v>
      </c>
      <c r="G16">
        <v>0.24598214285714279</v>
      </c>
      <c r="H16">
        <v>0.2494769685280713</v>
      </c>
      <c r="I16">
        <v>3.4948256709284309E-3</v>
      </c>
      <c r="J16" s="2">
        <v>0.80758928571428568</v>
      </c>
      <c r="K16">
        <v>0.80939329314427433</v>
      </c>
      <c r="L16">
        <v>1.8040074299886519E-3</v>
      </c>
      <c r="M16">
        <v>89.4</v>
      </c>
      <c r="N16" s="5">
        <f t="shared" si="0"/>
        <v>17.83494882292203</v>
      </c>
      <c r="O16">
        <v>86.723910131226049</v>
      </c>
      <c r="P16" s="4">
        <v>-2.6760898687739569</v>
      </c>
      <c r="Q16">
        <f t="shared" si="1"/>
        <v>3.4948256709284309E-3</v>
      </c>
      <c r="R16">
        <f t="shared" si="2"/>
        <v>1.8040074299886519E-3</v>
      </c>
      <c r="S16">
        <f t="shared" si="3"/>
        <v>2.6760898687739569</v>
      </c>
    </row>
    <row r="17" spans="1:19">
      <c r="A17">
        <v>0.9</v>
      </c>
      <c r="B17">
        <v>0.6</v>
      </c>
      <c r="C17">
        <v>0.48445078585219159</v>
      </c>
      <c r="D17" s="3">
        <v>111.7380338002902</v>
      </c>
      <c r="E17">
        <v>30</v>
      </c>
      <c r="F17">
        <v>38.261966199709839</v>
      </c>
      <c r="G17">
        <v>0.54596887626147528</v>
      </c>
      <c r="H17">
        <v>0.51090393640562282</v>
      </c>
      <c r="I17">
        <v>-3.5064939855852462E-2</v>
      </c>
      <c r="J17" s="2">
        <v>0.43781643542325971</v>
      </c>
      <c r="K17">
        <v>0.37451168585637251</v>
      </c>
      <c r="L17">
        <v>-6.3304749566887197E-2</v>
      </c>
      <c r="M17">
        <v>115.6</v>
      </c>
      <c r="N17" s="5">
        <f t="shared" si="0"/>
        <v>3.8619661997097978</v>
      </c>
      <c r="O17">
        <v>118.863529457878</v>
      </c>
      <c r="P17" s="4">
        <v>3.263529457877993</v>
      </c>
      <c r="Q17">
        <f t="shared" si="1"/>
        <v>3.5064939855852462E-2</v>
      </c>
      <c r="R17">
        <f t="shared" si="2"/>
        <v>6.3304749566887197E-2</v>
      </c>
      <c r="S17">
        <f t="shared" si="3"/>
        <v>3.263529457877993</v>
      </c>
    </row>
    <row r="18" spans="1:19">
      <c r="A18">
        <v>0.9</v>
      </c>
      <c r="B18">
        <v>0.6</v>
      </c>
      <c r="C18">
        <v>0.79372539331937708</v>
      </c>
      <c r="D18" s="3">
        <v>79.106605350869103</v>
      </c>
      <c r="E18">
        <v>60</v>
      </c>
      <c r="F18">
        <v>40.893394649130897</v>
      </c>
      <c r="G18">
        <v>0.52930564990924445</v>
      </c>
      <c r="H18">
        <v>0.55688435246066448</v>
      </c>
      <c r="I18">
        <v>2.7578702551420031E-2</v>
      </c>
      <c r="J18" s="2">
        <v>0.70226609783364302</v>
      </c>
      <c r="K18">
        <v>0.74855972824481787</v>
      </c>
      <c r="L18">
        <v>4.6293630411174853E-2</v>
      </c>
      <c r="M18">
        <v>86.1</v>
      </c>
      <c r="N18" s="5">
        <f t="shared" si="0"/>
        <v>6.9933946491308916</v>
      </c>
      <c r="O18">
        <v>86.96258549876174</v>
      </c>
      <c r="P18" s="4">
        <v>0.86258549876174584</v>
      </c>
      <c r="Q18">
        <f t="shared" si="1"/>
        <v>2.7578702551420031E-2</v>
      </c>
      <c r="R18">
        <f t="shared" si="2"/>
        <v>4.6293630411174853E-2</v>
      </c>
      <c r="S18">
        <f t="shared" si="3"/>
        <v>0.86258549876174584</v>
      </c>
    </row>
    <row r="19" spans="1:19">
      <c r="A19">
        <v>0.9</v>
      </c>
      <c r="B19">
        <v>0.6</v>
      </c>
      <c r="C19">
        <v>1.0816653826391971</v>
      </c>
      <c r="D19" s="3">
        <v>56.309932474020208</v>
      </c>
      <c r="E19">
        <v>90</v>
      </c>
      <c r="F19">
        <v>33.690067525979792</v>
      </c>
      <c r="G19">
        <v>0.50211868225597178</v>
      </c>
      <c r="H19">
        <v>0.49798234295794291</v>
      </c>
      <c r="I19">
        <v>-4.1363392980289237E-3</v>
      </c>
      <c r="J19" s="2">
        <v>0.91117121019604463</v>
      </c>
      <c r="K19">
        <v>0.94719919548689091</v>
      </c>
      <c r="L19">
        <v>3.6027985290846283E-2</v>
      </c>
      <c r="M19">
        <v>66</v>
      </c>
      <c r="N19" s="5">
        <f t="shared" si="0"/>
        <v>9.6900675259797922</v>
      </c>
      <c r="O19">
        <v>64.643131101960947</v>
      </c>
      <c r="P19" s="4">
        <v>-1.3568688980390531</v>
      </c>
      <c r="Q19">
        <f t="shared" si="1"/>
        <v>4.1363392980289237E-3</v>
      </c>
      <c r="R19">
        <f t="shared" si="2"/>
        <v>3.6027985290846283E-2</v>
      </c>
      <c r="S19">
        <f t="shared" si="3"/>
        <v>1.3568688980390531</v>
      </c>
    </row>
    <row r="20" spans="1:19">
      <c r="A20">
        <v>0.9</v>
      </c>
      <c r="B20">
        <v>0.9</v>
      </c>
      <c r="C20">
        <v>0.46587428118453739</v>
      </c>
      <c r="D20" s="3">
        <v>75.000000000000014</v>
      </c>
      <c r="E20">
        <v>30</v>
      </c>
      <c r="F20">
        <v>74.999999999999986</v>
      </c>
      <c r="G20">
        <v>0.79469764948897903</v>
      </c>
      <c r="H20">
        <v>0.78143290770147966</v>
      </c>
      <c r="I20">
        <v>-1.326474178749937E-2</v>
      </c>
      <c r="J20" s="2">
        <v>0.39376449412730102</v>
      </c>
      <c r="K20">
        <v>0.36399314451721593</v>
      </c>
      <c r="L20">
        <v>-2.97713496100851E-2</v>
      </c>
      <c r="M20">
        <v>83.6</v>
      </c>
      <c r="N20" s="5">
        <f t="shared" si="0"/>
        <v>8.5999999999999801</v>
      </c>
      <c r="O20">
        <v>81.460142965591601</v>
      </c>
      <c r="P20" s="4">
        <v>-2.139857034408394</v>
      </c>
      <c r="Q20">
        <f t="shared" si="1"/>
        <v>1.326474178749937E-2</v>
      </c>
      <c r="R20">
        <f t="shared" si="2"/>
        <v>2.97713496100851E-2</v>
      </c>
      <c r="S20">
        <f t="shared" si="3"/>
        <v>2.139857034408394</v>
      </c>
    </row>
    <row r="21" spans="1:19">
      <c r="A21">
        <v>0.9</v>
      </c>
      <c r="B21">
        <v>0.9</v>
      </c>
      <c r="C21">
        <v>0.89999999999999991</v>
      </c>
      <c r="D21" s="3">
        <v>59.999999999999993</v>
      </c>
      <c r="E21">
        <v>60</v>
      </c>
      <c r="F21">
        <v>60.000000000000007</v>
      </c>
      <c r="G21">
        <v>0.75889646809549316</v>
      </c>
      <c r="H21">
        <v>0.82003893825082397</v>
      </c>
      <c r="I21">
        <v>6.1142470155330808E-2</v>
      </c>
      <c r="J21" s="2">
        <v>0.77743571628044583</v>
      </c>
      <c r="K21">
        <v>0.83399108214418138</v>
      </c>
      <c r="L21">
        <v>5.6555365863735552E-2</v>
      </c>
      <c r="M21">
        <v>65.900000000000006</v>
      </c>
      <c r="N21" s="5">
        <f t="shared" si="0"/>
        <v>5.9000000000000128</v>
      </c>
      <c r="O21">
        <v>62.189059254566409</v>
      </c>
      <c r="P21" s="4">
        <v>-3.710940745433597</v>
      </c>
      <c r="Q21">
        <f t="shared" si="1"/>
        <v>6.1142470155330808E-2</v>
      </c>
      <c r="R21">
        <f t="shared" si="2"/>
        <v>5.6555365863735552E-2</v>
      </c>
      <c r="S21">
        <f t="shared" si="3"/>
        <v>3.710940745433597</v>
      </c>
    </row>
    <row r="22" spans="1:19">
      <c r="A22">
        <v>0.9</v>
      </c>
      <c r="B22">
        <v>0.9</v>
      </c>
      <c r="C22">
        <v>1.272792206135785</v>
      </c>
      <c r="D22" s="3">
        <v>44.999999999999979</v>
      </c>
      <c r="E22">
        <v>90</v>
      </c>
      <c r="F22">
        <v>45.000000000000021</v>
      </c>
      <c r="G22">
        <v>0.73407613030635532</v>
      </c>
      <c r="H22">
        <v>0.79168558968060776</v>
      </c>
      <c r="I22">
        <v>5.7609459374252443E-2</v>
      </c>
      <c r="J22" s="2">
        <v>1.1213035450341879</v>
      </c>
      <c r="K22">
        <v>0.97109690270948767</v>
      </c>
      <c r="L22">
        <v>-0.15020664232470049</v>
      </c>
      <c r="M22">
        <v>49.4</v>
      </c>
      <c r="N22" s="5">
        <f t="shared" si="0"/>
        <v>4.4000000000000199</v>
      </c>
      <c r="O22">
        <v>48.762329472030437</v>
      </c>
      <c r="P22" s="4">
        <v>-0.63767052796955426</v>
      </c>
      <c r="Q22">
        <f t="shared" si="1"/>
        <v>5.7609459374252443E-2</v>
      </c>
      <c r="R22">
        <f t="shared" si="2"/>
        <v>0.15020664232470049</v>
      </c>
      <c r="S22">
        <f t="shared" si="3"/>
        <v>0.63767052796955426</v>
      </c>
    </row>
  </sheetData>
  <phoneticPr fontId="2" type="noConversion"/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LOSO_Dimension_Details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張之綺</cp:lastModifiedBy>
  <dcterms:created xsi:type="dcterms:W3CDTF">2025-09-02T08:45:40Z</dcterms:created>
  <dcterms:modified xsi:type="dcterms:W3CDTF">2025-09-02T12:45:13Z</dcterms:modified>
</cp:coreProperties>
</file>