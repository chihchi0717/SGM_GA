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74BEA674-5CB2-4F00-A4B9-9C67E95156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delta_s2" sheetId="2" r:id="rId2"/>
    <sheet name="delta_s3" sheetId="3" r:id="rId3"/>
    <sheet name="delta_s1" sheetId="4" r:id="rId4"/>
    <sheet name="delta_a3" sheetId="6" r:id="rId5"/>
    <sheet name="delta_s2_2" sheetId="7" r:id="rId6"/>
    <sheet name="delta_s3_2" sheetId="8" r:id="rId7"/>
    <sheet name="delta_a3_2" sheetId="9" r:id="rId8"/>
    <sheet name="pred_delta_a3_3" sheetId="10" r:id="rId9"/>
    <sheet name="a3" sheetId="11" r:id="rId10"/>
    <sheet name="delta_s2_3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" l="1"/>
  <c r="O40" i="1"/>
  <c r="N40" i="1"/>
  <c r="N39" i="1"/>
  <c r="Q40" i="1"/>
  <c r="Q39" i="1"/>
  <c r="Q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2" i="1"/>
  <c r="H2" i="1"/>
  <c r="F2" i="1" s="1"/>
  <c r="G2" i="1" s="1"/>
  <c r="O2" i="1"/>
  <c r="P10" i="1"/>
  <c r="P19" i="1"/>
  <c r="H3" i="1"/>
  <c r="F3" i="1" s="1"/>
  <c r="G3" i="1" s="1"/>
  <c r="H4" i="1"/>
  <c r="F4" i="1" s="1"/>
  <c r="G4" i="1" s="1"/>
  <c r="H5" i="1"/>
  <c r="F5" i="1" s="1"/>
  <c r="G5" i="1" s="1"/>
  <c r="H6" i="1"/>
  <c r="F6" i="1" s="1"/>
  <c r="G6" i="1" s="1"/>
  <c r="H7" i="1"/>
  <c r="F7" i="1" s="1"/>
  <c r="G7" i="1" s="1"/>
  <c r="H8" i="1"/>
  <c r="F8" i="1" s="1"/>
  <c r="G8" i="1" s="1"/>
  <c r="H9" i="1"/>
  <c r="F9" i="1" s="1"/>
  <c r="G9" i="1" s="1"/>
  <c r="H10" i="1"/>
  <c r="F10" i="1" s="1"/>
  <c r="G10" i="1" s="1"/>
  <c r="H11" i="1"/>
  <c r="F11" i="1" s="1"/>
  <c r="G11" i="1" s="1"/>
  <c r="H12" i="1"/>
  <c r="F12" i="1" s="1"/>
  <c r="G12" i="1" s="1"/>
  <c r="H13" i="1"/>
  <c r="F13" i="1" s="1"/>
  <c r="G13" i="1" s="1"/>
  <c r="H14" i="1"/>
  <c r="F14" i="1" s="1"/>
  <c r="G14" i="1" s="1"/>
  <c r="H15" i="1"/>
  <c r="F15" i="1" s="1"/>
  <c r="G15" i="1" s="1"/>
  <c r="H16" i="1"/>
  <c r="F16" i="1" s="1"/>
  <c r="G16" i="1" s="1"/>
  <c r="H17" i="1"/>
  <c r="F17" i="1" s="1"/>
  <c r="G17" i="1" s="1"/>
  <c r="H18" i="1"/>
  <c r="F18" i="1" s="1"/>
  <c r="G18" i="1" s="1"/>
  <c r="H19" i="1"/>
  <c r="F19" i="1" s="1"/>
  <c r="G19" i="1" s="1"/>
  <c r="U19" i="1" s="1"/>
  <c r="H20" i="1"/>
  <c r="F20" i="1" s="1"/>
  <c r="G20" i="1" s="1"/>
  <c r="H21" i="1"/>
  <c r="F21" i="1" s="1"/>
  <c r="G21" i="1" s="1"/>
  <c r="H22" i="1"/>
  <c r="F22" i="1" s="1"/>
  <c r="G22" i="1" s="1"/>
  <c r="H23" i="1"/>
  <c r="F23" i="1" s="1"/>
  <c r="G23" i="1" s="1"/>
  <c r="H24" i="1"/>
  <c r="F24" i="1" s="1"/>
  <c r="G24" i="1" s="1"/>
  <c r="H25" i="1"/>
  <c r="F25" i="1" s="1"/>
  <c r="G25" i="1" s="1"/>
  <c r="H26" i="1"/>
  <c r="F26" i="1" s="1"/>
  <c r="G26" i="1" s="1"/>
  <c r="H27" i="1"/>
  <c r="F27" i="1" s="1"/>
  <c r="G27" i="1" s="1"/>
  <c r="H28" i="1"/>
  <c r="F28" i="1" s="1"/>
  <c r="G28" i="1" s="1"/>
  <c r="H29" i="1"/>
  <c r="F29" i="1" s="1"/>
  <c r="G29" i="1" s="1"/>
  <c r="H30" i="1"/>
  <c r="F30" i="1" s="1"/>
  <c r="G30" i="1" s="1"/>
  <c r="H31" i="1"/>
  <c r="F31" i="1" s="1"/>
  <c r="G31" i="1" s="1"/>
  <c r="H32" i="1"/>
  <c r="F32" i="1" s="1"/>
  <c r="G32" i="1" s="1"/>
  <c r="H33" i="1"/>
  <c r="F33" i="1" s="1"/>
  <c r="G33" i="1" s="1"/>
  <c r="H34" i="1"/>
  <c r="F34" i="1" s="1"/>
  <c r="G34" i="1" s="1"/>
  <c r="H35" i="1"/>
  <c r="F35" i="1" s="1"/>
  <c r="G35" i="1" s="1"/>
  <c r="H36" i="1"/>
  <c r="F36" i="1" s="1"/>
  <c r="G36" i="1" s="1"/>
  <c r="H37" i="1"/>
  <c r="F37" i="1" s="1"/>
  <c r="G37" i="1" s="1"/>
  <c r="H38" i="1"/>
  <c r="F38" i="1" s="1"/>
  <c r="G38" i="1" s="1"/>
  <c r="U10" i="1" l="1"/>
  <c r="R2" i="1" l="1"/>
  <c r="P3" i="1"/>
  <c r="U3" i="1" s="1"/>
  <c r="P4" i="1"/>
  <c r="U4" i="1" s="1"/>
  <c r="P5" i="1"/>
  <c r="U5" i="1" s="1"/>
  <c r="P6" i="1"/>
  <c r="U6" i="1" s="1"/>
  <c r="P7" i="1"/>
  <c r="U7" i="1" s="1"/>
  <c r="P8" i="1"/>
  <c r="U8" i="1" s="1"/>
  <c r="P9" i="1"/>
  <c r="U9" i="1" s="1"/>
  <c r="P11" i="1"/>
  <c r="U11" i="1" s="1"/>
  <c r="P12" i="1"/>
  <c r="U12" i="1" s="1"/>
  <c r="P13" i="1"/>
  <c r="U13" i="1" s="1"/>
  <c r="P14" i="1"/>
  <c r="U14" i="1" s="1"/>
  <c r="P15" i="1"/>
  <c r="U15" i="1" s="1"/>
  <c r="P16" i="1"/>
  <c r="U16" i="1" s="1"/>
  <c r="P17" i="1"/>
  <c r="U17" i="1" s="1"/>
  <c r="P18" i="1"/>
  <c r="U18" i="1" s="1"/>
  <c r="P20" i="1"/>
  <c r="U20" i="1" s="1"/>
  <c r="P21" i="1"/>
  <c r="U21" i="1" s="1"/>
  <c r="P22" i="1"/>
  <c r="U22" i="1" s="1"/>
  <c r="P23" i="1"/>
  <c r="U23" i="1" s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U31" i="1" s="1"/>
  <c r="P32" i="1"/>
  <c r="U32" i="1" s="1"/>
  <c r="P33" i="1"/>
  <c r="U33" i="1" s="1"/>
  <c r="P34" i="1"/>
  <c r="U34" i="1" s="1"/>
  <c r="P35" i="1"/>
  <c r="U35" i="1" s="1"/>
  <c r="P36" i="1"/>
  <c r="U36" i="1" s="1"/>
  <c r="P37" i="1"/>
  <c r="U37" i="1" s="1"/>
  <c r="P38" i="1"/>
  <c r="U38" i="1" s="1"/>
  <c r="P2" i="1"/>
  <c r="U2" i="1" s="1"/>
  <c r="T2" i="1"/>
  <c r="O3" i="1"/>
  <c r="T3" i="1" s="1"/>
  <c r="Q3" i="1"/>
  <c r="R3" i="1" s="1"/>
  <c r="O4" i="1"/>
  <c r="T4" i="1" s="1"/>
  <c r="Q4" i="1"/>
  <c r="R4" i="1" s="1"/>
  <c r="O5" i="1"/>
  <c r="T5" i="1" s="1"/>
  <c r="Q5" i="1"/>
  <c r="R5" i="1" s="1"/>
  <c r="O6" i="1"/>
  <c r="T6" i="1" s="1"/>
  <c r="Q6" i="1"/>
  <c r="R6" i="1" s="1"/>
  <c r="O7" i="1"/>
  <c r="T7" i="1" s="1"/>
  <c r="Q7" i="1"/>
  <c r="R7" i="1" s="1"/>
  <c r="O8" i="1"/>
  <c r="T8" i="1" s="1"/>
  <c r="Q8" i="1"/>
  <c r="R8" i="1" s="1"/>
  <c r="O9" i="1"/>
  <c r="T9" i="1" s="1"/>
  <c r="Q9" i="1"/>
  <c r="R9" i="1" s="1"/>
  <c r="O10" i="1"/>
  <c r="T10" i="1" s="1"/>
  <c r="Q10" i="1"/>
  <c r="R10" i="1" s="1"/>
  <c r="O11" i="1"/>
  <c r="T11" i="1" s="1"/>
  <c r="Q11" i="1"/>
  <c r="R11" i="1" s="1"/>
  <c r="O12" i="1"/>
  <c r="T12" i="1" s="1"/>
  <c r="Q12" i="1"/>
  <c r="R12" i="1" s="1"/>
  <c r="O13" i="1"/>
  <c r="T13" i="1" s="1"/>
  <c r="Q13" i="1"/>
  <c r="R13" i="1" s="1"/>
  <c r="O14" i="1"/>
  <c r="T14" i="1" s="1"/>
  <c r="Q14" i="1"/>
  <c r="R14" i="1" s="1"/>
  <c r="O15" i="1"/>
  <c r="T15" i="1" s="1"/>
  <c r="Q15" i="1"/>
  <c r="R15" i="1" s="1"/>
  <c r="O16" i="1"/>
  <c r="T16" i="1" s="1"/>
  <c r="Q16" i="1"/>
  <c r="R16" i="1" s="1"/>
  <c r="O17" i="1"/>
  <c r="T17" i="1" s="1"/>
  <c r="Q17" i="1"/>
  <c r="R17" i="1" s="1"/>
  <c r="O18" i="1"/>
  <c r="T18" i="1" s="1"/>
  <c r="Q18" i="1"/>
  <c r="R18" i="1" s="1"/>
  <c r="O19" i="1"/>
  <c r="T19" i="1" s="1"/>
  <c r="Q19" i="1"/>
  <c r="R19" i="1" s="1"/>
  <c r="O20" i="1"/>
  <c r="T20" i="1" s="1"/>
  <c r="Q20" i="1"/>
  <c r="R20" i="1" s="1"/>
  <c r="O21" i="1"/>
  <c r="T21" i="1" s="1"/>
  <c r="Q21" i="1"/>
  <c r="R21" i="1" s="1"/>
  <c r="O22" i="1"/>
  <c r="T22" i="1" s="1"/>
  <c r="Q22" i="1"/>
  <c r="R22" i="1" s="1"/>
  <c r="O23" i="1"/>
  <c r="T23" i="1" s="1"/>
  <c r="Q23" i="1"/>
  <c r="R23" i="1" s="1"/>
  <c r="O24" i="1"/>
  <c r="T24" i="1" s="1"/>
  <c r="Q24" i="1"/>
  <c r="R24" i="1" s="1"/>
  <c r="O25" i="1"/>
  <c r="T25" i="1" s="1"/>
  <c r="Q25" i="1"/>
  <c r="R25" i="1" s="1"/>
  <c r="O26" i="1"/>
  <c r="T26" i="1" s="1"/>
  <c r="Q26" i="1"/>
  <c r="R26" i="1" s="1"/>
  <c r="O27" i="1"/>
  <c r="T27" i="1" s="1"/>
  <c r="Q27" i="1"/>
  <c r="R27" i="1" s="1"/>
  <c r="O28" i="1"/>
  <c r="T28" i="1" s="1"/>
  <c r="Q28" i="1"/>
  <c r="R28" i="1" s="1"/>
  <c r="O29" i="1"/>
  <c r="T29" i="1" s="1"/>
  <c r="Q29" i="1"/>
  <c r="R29" i="1" s="1"/>
  <c r="O30" i="1"/>
  <c r="T30" i="1" s="1"/>
  <c r="Q30" i="1"/>
  <c r="R30" i="1" s="1"/>
  <c r="O31" i="1"/>
  <c r="T31" i="1" s="1"/>
  <c r="Q31" i="1"/>
  <c r="R31" i="1" s="1"/>
  <c r="O32" i="1"/>
  <c r="T32" i="1" s="1"/>
  <c r="Q32" i="1"/>
  <c r="R32" i="1" s="1"/>
  <c r="O33" i="1"/>
  <c r="T33" i="1" s="1"/>
  <c r="Q33" i="1"/>
  <c r="R33" i="1" s="1"/>
  <c r="O34" i="1"/>
  <c r="T34" i="1" s="1"/>
  <c r="Q34" i="1"/>
  <c r="R34" i="1" s="1"/>
  <c r="O35" i="1"/>
  <c r="T35" i="1" s="1"/>
  <c r="Q35" i="1"/>
  <c r="R35" i="1" s="1"/>
  <c r="O36" i="1"/>
  <c r="T36" i="1" s="1"/>
  <c r="Q36" i="1"/>
  <c r="R36" i="1" s="1"/>
  <c r="O37" i="1"/>
  <c r="T37" i="1" s="1"/>
  <c r="Q37" i="1"/>
  <c r="R37" i="1" s="1"/>
  <c r="O38" i="1"/>
  <c r="T38" i="1" s="1"/>
  <c r="Q38" i="1"/>
  <c r="R38" i="1" s="1"/>
  <c r="N3" i="1"/>
  <c r="S3" i="1" s="1"/>
  <c r="N4" i="1"/>
  <c r="S4" i="1" s="1"/>
  <c r="N5" i="1"/>
  <c r="S5" i="1" s="1"/>
  <c r="N6" i="1"/>
  <c r="S6" i="1" s="1"/>
  <c r="N7" i="1"/>
  <c r="S7" i="1" s="1"/>
  <c r="N8" i="1"/>
  <c r="S8" i="1" s="1"/>
  <c r="N9" i="1"/>
  <c r="S9" i="1" s="1"/>
  <c r="N10" i="1"/>
  <c r="S10" i="1" s="1"/>
  <c r="N11" i="1"/>
  <c r="S11" i="1" s="1"/>
  <c r="N12" i="1"/>
  <c r="S12" i="1" s="1"/>
  <c r="N13" i="1"/>
  <c r="S13" i="1" s="1"/>
  <c r="N14" i="1"/>
  <c r="S14" i="1" s="1"/>
  <c r="N15" i="1"/>
  <c r="S15" i="1" s="1"/>
  <c r="N16" i="1"/>
  <c r="S16" i="1" s="1"/>
  <c r="N17" i="1"/>
  <c r="S17" i="1" s="1"/>
  <c r="N18" i="1"/>
  <c r="S18" i="1" s="1"/>
  <c r="N19" i="1"/>
  <c r="S19" i="1" s="1"/>
  <c r="N20" i="1"/>
  <c r="S20" i="1" s="1"/>
  <c r="N21" i="1"/>
  <c r="S21" i="1" s="1"/>
  <c r="N22" i="1"/>
  <c r="S22" i="1" s="1"/>
  <c r="N23" i="1"/>
  <c r="S23" i="1" s="1"/>
  <c r="N24" i="1"/>
  <c r="S24" i="1" s="1"/>
  <c r="N25" i="1"/>
  <c r="S25" i="1" s="1"/>
  <c r="N26" i="1"/>
  <c r="S26" i="1" s="1"/>
  <c r="N27" i="1"/>
  <c r="S27" i="1" s="1"/>
  <c r="N28" i="1"/>
  <c r="S28" i="1" s="1"/>
  <c r="N29" i="1"/>
  <c r="S29" i="1" s="1"/>
  <c r="N30" i="1"/>
  <c r="S30" i="1" s="1"/>
  <c r="N31" i="1"/>
  <c r="S31" i="1" s="1"/>
  <c r="N32" i="1"/>
  <c r="S32" i="1" s="1"/>
  <c r="N33" i="1"/>
  <c r="S33" i="1" s="1"/>
  <c r="N34" i="1"/>
  <c r="S34" i="1" s="1"/>
  <c r="N35" i="1"/>
  <c r="S35" i="1" s="1"/>
  <c r="N36" i="1"/>
  <c r="S36" i="1" s="1"/>
  <c r="N37" i="1"/>
  <c r="S37" i="1" s="1"/>
  <c r="N38" i="1"/>
  <c r="S38" i="1" s="1"/>
  <c r="N2" i="1"/>
  <c r="S2" i="1" s="1"/>
</calcChain>
</file>

<file path=xl/sharedStrings.xml><?xml version="1.0" encoding="utf-8"?>
<sst xmlns="http://schemas.openxmlformats.org/spreadsheetml/2006/main" count="334" uniqueCount="58">
  <si>
    <t>StructureID</t>
  </si>
  <si>
    <t>DIP_s2(px)</t>
    <phoneticPr fontId="2" type="noConversion"/>
  </si>
  <si>
    <t>DIP_s3(px)</t>
    <phoneticPr fontId="2" type="noConversion"/>
  </si>
  <si>
    <t>DIP_s1(px)</t>
    <phoneticPr fontId="2" type="noConversion"/>
  </si>
  <si>
    <t>DIP_s2(mm)</t>
    <phoneticPr fontId="2" type="noConversion"/>
  </si>
  <si>
    <t>DIP_s3(mm)</t>
    <phoneticPr fontId="2" type="noConversion"/>
  </si>
  <si>
    <t>DIP_a3(deg)</t>
  </si>
  <si>
    <t>DIP_a3(deg)</t>
    <phoneticPr fontId="2" type="noConversion"/>
  </si>
  <si>
    <t>DIP_s1(mm)</t>
    <phoneticPr fontId="2" type="noConversion"/>
  </si>
  <si>
    <t>Design_s1(mm)</t>
  </si>
  <si>
    <t>Design_s1(mm)</t>
    <phoneticPr fontId="2" type="noConversion"/>
  </si>
  <si>
    <t>Design_s2(mm)</t>
  </si>
  <si>
    <t>Design_s2(mm)</t>
    <phoneticPr fontId="2" type="noConversion"/>
  </si>
  <si>
    <t>Design_a1(deg)</t>
  </si>
  <si>
    <t>Design_a1(deg)</t>
    <phoneticPr fontId="2" type="noConversion"/>
  </si>
  <si>
    <t>Design_s3(mm)</t>
  </si>
  <si>
    <t>Design_s3(mm)</t>
    <phoneticPr fontId="2" type="noConversion"/>
  </si>
  <si>
    <t>delta_s1</t>
    <phoneticPr fontId="2" type="noConversion"/>
  </si>
  <si>
    <t>delta_s2</t>
  </si>
  <si>
    <t>delta_s2</t>
    <phoneticPr fontId="2" type="noConversion"/>
  </si>
  <si>
    <t>delta_s3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</si>
  <si>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</si>
  <si>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</si>
  <si>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</si>
  <si>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</si>
  <si>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</si>
  <si>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</si>
  <si>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</si>
  <si>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</si>
  <si>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</si>
  <si>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</si>
  <si>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</si>
  <si>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</si>
  <si>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</si>
  <si>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</si>
  <si>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</si>
  <si>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</si>
  <si>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</si>
  <si>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</si>
  <si>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</si>
  <si>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</si>
  <si>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</si>
  <si>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</si>
  <si>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</si>
  <si>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</si>
  <si>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Design_a2(deg)</t>
  </si>
  <si>
    <t>Design_a2(deg)</t>
    <phoneticPr fontId="2" type="noConversion"/>
  </si>
  <si>
    <t>Design_a3(deg)</t>
  </si>
  <si>
    <t>Design_a3(deg)</t>
    <phoneticPr fontId="2" type="noConversion"/>
  </si>
  <si>
    <t>delta_a3</t>
  </si>
  <si>
    <t>delta_a3</t>
    <phoneticPr fontId="2" type="noConversion"/>
  </si>
  <si>
    <t>殘差輸出</t>
  </si>
  <si>
    <t>觀察值</t>
  </si>
  <si>
    <t>預測為 delta_a3</t>
  </si>
  <si>
    <t>機率輸出</t>
  </si>
  <si>
    <t>百分比</t>
  </si>
  <si>
    <t>預測為 DIP_a3(deg)</t>
  </si>
  <si>
    <t>預測為 delta_s2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</si>
</sst>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 "/>
  </numFmts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76" fontId="0" fillId="0" borderId="0" xfId="0" applyNumberFormat="1"/>
    <xf numFmtId="1" fontId="0" fillId="0" borderId="0" xfId="0" applyNumberFormat="1"/>
    <xf numFmtId="177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Continuous"/>
    </xf>
    <xf numFmtId="0" fontId="0" fillId="0" borderId="5" xfId="0" applyBorder="1"/>
    <xf numFmtId="1" fontId="0" fillId="0" borderId="5" xfId="0" applyNumberFormat="1" applyBorder="1"/>
    <xf numFmtId="2" fontId="0" fillId="0" borderId="5" xfId="0" applyNumberFormat="1" applyBorder="1"/>
    <xf numFmtId="176" fontId="0" fillId="0" borderId="5" xfId="0" applyNumberFormat="1" applyBorder="1"/>
    <xf numFmtId="177" fontId="0" fillId="0" borderId="5" xfId="0" applyNumberFormat="1" applyBorder="1"/>
    <xf numFmtId="0" fontId="0" fillId="0" borderId="6" xfId="0" applyBorder="1"/>
    <xf numFmtId="1" fontId="0" fillId="0" borderId="6" xfId="0" applyNumberFormat="1" applyBorder="1"/>
    <xf numFmtId="2" fontId="0" fillId="0" borderId="6" xfId="0" applyNumberFormat="1" applyBorder="1"/>
    <xf numFmtId="176" fontId="0" fillId="0" borderId="6" xfId="0" applyNumberFormat="1" applyBorder="1"/>
    <xf numFmtId="177" fontId="0" fillId="0" borderId="6" xfId="0" applyNumberForma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delta_a3</c:v>
          </c:tx>
          <c:spPr>
            <a:ln w="28575">
              <a:noFill/>
            </a:ln>
          </c:spPr>
          <c:xVal>
            <c:numRef>
              <c:f>Sheet1!$A$2:$A$38</c:f>
              <c:numCache>
                <c:formatCode>General</c:formatCode>
                <c:ptCount val="3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xVal>
          <c:yVal>
            <c:numRef>
              <c:f>Sheet1!$U$2:$U$38</c:f>
              <c:numCache>
                <c:formatCode>0.00_ </c:formatCode>
                <c:ptCount val="37"/>
                <c:pt idx="0">
                  <c:v>-17.200000000000003</c:v>
                </c:pt>
                <c:pt idx="1">
                  <c:v>-19</c:v>
                </c:pt>
                <c:pt idx="2">
                  <c:v>-13.199999999999996</c:v>
                </c:pt>
                <c:pt idx="3">
                  <c:v>-8.1999999999999957</c:v>
                </c:pt>
                <c:pt idx="4">
                  <c:v>-10.699999999999996</c:v>
                </c:pt>
                <c:pt idx="5">
                  <c:v>-8.4999999999999858</c:v>
                </c:pt>
                <c:pt idx="6">
                  <c:v>-9.0999999999999872</c:v>
                </c:pt>
                <c:pt idx="7">
                  <c:v>-11.699999999999989</c:v>
                </c:pt>
                <c:pt idx="8">
                  <c:v>-24.438033800290199</c:v>
                </c:pt>
                <c:pt idx="9">
                  <c:v>-22.338033800290198</c:v>
                </c:pt>
                <c:pt idx="10">
                  <c:v>-20.338033800290198</c:v>
                </c:pt>
                <c:pt idx="11">
                  <c:v>-10.806605350869106</c:v>
                </c:pt>
                <c:pt idx="12">
                  <c:v>-9.8066053508691056</c:v>
                </c:pt>
                <c:pt idx="13">
                  <c:v>-9.0066053508691013</c:v>
                </c:pt>
                <c:pt idx="14">
                  <c:v>-14.106605350869103</c:v>
                </c:pt>
                <c:pt idx="15">
                  <c:v>-7.0099324740202178</c:v>
                </c:pt>
                <c:pt idx="16">
                  <c:v>-10.209932474020214</c:v>
                </c:pt>
                <c:pt idx="17">
                  <c:v>-3.8619661997098262</c:v>
                </c:pt>
                <c:pt idx="18">
                  <c:v>-2.4619661997098348</c:v>
                </c:pt>
                <c:pt idx="19">
                  <c:v>-3.3619661997098262</c:v>
                </c:pt>
                <c:pt idx="20">
                  <c:v>-6.9933946491308916</c:v>
                </c:pt>
                <c:pt idx="21">
                  <c:v>-4.3933946491308973</c:v>
                </c:pt>
                <c:pt idx="22">
                  <c:v>-5.4933946491308916</c:v>
                </c:pt>
                <c:pt idx="23">
                  <c:v>-5.5933946491309001</c:v>
                </c:pt>
                <c:pt idx="24">
                  <c:v>-9.6900675259797922</c:v>
                </c:pt>
                <c:pt idx="25">
                  <c:v>-8.1900675259797922</c:v>
                </c:pt>
                <c:pt idx="26">
                  <c:v>-6.1900675259797922</c:v>
                </c:pt>
                <c:pt idx="27">
                  <c:v>-1.7900675259797936</c:v>
                </c:pt>
                <c:pt idx="28">
                  <c:v>-4.9999999999999858</c:v>
                </c:pt>
                <c:pt idx="29">
                  <c:v>-8.5999999999999801</c:v>
                </c:pt>
                <c:pt idx="30">
                  <c:v>-6.6999999999999886</c:v>
                </c:pt>
                <c:pt idx="31">
                  <c:v>-5.9000000000000128</c:v>
                </c:pt>
                <c:pt idx="32">
                  <c:v>-4.9000000000000128</c:v>
                </c:pt>
                <c:pt idx="33">
                  <c:v>-5.0000000000000071</c:v>
                </c:pt>
                <c:pt idx="34">
                  <c:v>-4.2000000000000099</c:v>
                </c:pt>
                <c:pt idx="35">
                  <c:v>-5.7000000000000242</c:v>
                </c:pt>
                <c:pt idx="36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22-41E4-805C-5518A6A0F66C}"/>
            </c:ext>
          </c:extLst>
        </c:ser>
        <c:ser>
          <c:idx val="1"/>
          <c:order val="1"/>
          <c:tx>
            <c:v>預測為 delta_a3</c:v>
          </c:tx>
          <c:spPr>
            <a:ln w="28575">
              <a:noFill/>
            </a:ln>
          </c:spPr>
          <c:xVal>
            <c:numRef>
              <c:f>Sheet1!$A$2:$A$38</c:f>
              <c:numCache>
                <c:formatCode>General</c:formatCode>
                <c:ptCount val="3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xVal>
          <c:yVal>
            <c:numRef>
              <c:f>pred_delta_a3_3!$B$28:$B$67</c:f>
              <c:numCache>
                <c:formatCode>General</c:formatCode>
                <c:ptCount val="40"/>
                <c:pt idx="0">
                  <c:v>-15.036115579312749</c:v>
                </c:pt>
                <c:pt idx="1">
                  <c:v>-15.036115579312749</c:v>
                </c:pt>
                <c:pt idx="2">
                  <c:v>-13.297967088346258</c:v>
                </c:pt>
                <c:pt idx="3">
                  <c:v>-13.297967088346258</c:v>
                </c:pt>
                <c:pt idx="4">
                  <c:v>-13.297967088346258</c:v>
                </c:pt>
                <c:pt idx="5">
                  <c:v>-12.478814690329267</c:v>
                </c:pt>
                <c:pt idx="6">
                  <c:v>-12.478814690329267</c:v>
                </c:pt>
                <c:pt idx="7">
                  <c:v>-12.478814690329267</c:v>
                </c:pt>
                <c:pt idx="8">
                  <c:v>-19.913380223574372</c:v>
                </c:pt>
                <c:pt idx="9">
                  <c:v>-19.913380223574372</c:v>
                </c:pt>
                <c:pt idx="10">
                  <c:v>-19.913380223574372</c:v>
                </c:pt>
                <c:pt idx="11">
                  <c:v>-19.913380223574372</c:v>
                </c:pt>
                <c:pt idx="12">
                  <c:v>-19.913380223574372</c:v>
                </c:pt>
                <c:pt idx="13">
                  <c:v>-19.913380223574372</c:v>
                </c:pt>
                <c:pt idx="14">
                  <c:v>-12.126115235578654</c:v>
                </c:pt>
                <c:pt idx="15">
                  <c:v>-12.126115235578654</c:v>
                </c:pt>
                <c:pt idx="16">
                  <c:v>-12.126115235578654</c:v>
                </c:pt>
                <c:pt idx="17">
                  <c:v>-12.126115235578654</c:v>
                </c:pt>
                <c:pt idx="18">
                  <c:v>-7.9435851874225101</c:v>
                </c:pt>
                <c:pt idx="19">
                  <c:v>-7.9435851874225101</c:v>
                </c:pt>
                <c:pt idx="20">
                  <c:v>-1.6163419861436452</c:v>
                </c:pt>
                <c:pt idx="21">
                  <c:v>-1.6163419861436452</c:v>
                </c:pt>
                <c:pt idx="22">
                  <c:v>-1.6163419861436452</c:v>
                </c:pt>
                <c:pt idx="23">
                  <c:v>-5.0347019145015004</c:v>
                </c:pt>
                <c:pt idx="24">
                  <c:v>-5.0347019145015004</c:v>
                </c:pt>
                <c:pt idx="25">
                  <c:v>-5.0347019145015004</c:v>
                </c:pt>
                <c:pt idx="26">
                  <c:v>-5.0347019145015004</c:v>
                </c:pt>
                <c:pt idx="27">
                  <c:v>-5.8073342971207644</c:v>
                </c:pt>
                <c:pt idx="28">
                  <c:v>-5.8073342971207644</c:v>
                </c:pt>
                <c:pt idx="29">
                  <c:v>-5.8073342971207644</c:v>
                </c:pt>
                <c:pt idx="30">
                  <c:v>-5.8073342971207644</c:v>
                </c:pt>
                <c:pt idx="31">
                  <c:v>-10.818868891565817</c:v>
                </c:pt>
                <c:pt idx="32">
                  <c:v>-10.818868891565817</c:v>
                </c:pt>
                <c:pt idx="33">
                  <c:v>-10.818868891565817</c:v>
                </c:pt>
                <c:pt idx="34">
                  <c:v>-5.8283399155297211</c:v>
                </c:pt>
                <c:pt idx="35">
                  <c:v>-5.8283399155297211</c:v>
                </c:pt>
                <c:pt idx="36">
                  <c:v>-5.8283399155297211</c:v>
                </c:pt>
                <c:pt idx="37">
                  <c:v>-5.8283399155297211</c:v>
                </c:pt>
                <c:pt idx="38">
                  <c:v>-2.2163050789178715</c:v>
                </c:pt>
                <c:pt idx="39">
                  <c:v>-2.2163050789178715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22-41E4-805C-5518A6A0F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95055"/>
        <c:axId val="201793615"/>
      </c:scatterChart>
      <c:valAx>
        <c:axId val="201795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793615"/>
        <c:crosses val="autoZero"/>
        <c:crossBetween val="midCat"/>
      </c:valAx>
      <c:valAx>
        <c:axId val="201793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delta_a3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017950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delta_a3</c:v>
          </c:tx>
          <c:spPr>
            <a:ln w="28575">
              <a:noFill/>
            </a:ln>
          </c:spPr>
          <c:xVal>
            <c:numRef>
              <c:f>Sheet1!$B$2:$B$38</c:f>
              <c:numCache>
                <c:formatCode>General</c:formatCode>
                <c:ptCount val="3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xVal>
          <c:yVal>
            <c:numRef>
              <c:f>Sheet1!$U$2:$U$38</c:f>
              <c:numCache>
                <c:formatCode>0.00_ </c:formatCode>
                <c:ptCount val="37"/>
                <c:pt idx="0">
                  <c:v>-17.200000000000003</c:v>
                </c:pt>
                <c:pt idx="1">
                  <c:v>-19</c:v>
                </c:pt>
                <c:pt idx="2">
                  <c:v>-13.199999999999996</c:v>
                </c:pt>
                <c:pt idx="3">
                  <c:v>-8.1999999999999957</c:v>
                </c:pt>
                <c:pt idx="4">
                  <c:v>-10.699999999999996</c:v>
                </c:pt>
                <c:pt idx="5">
                  <c:v>-8.4999999999999858</c:v>
                </c:pt>
                <c:pt idx="6">
                  <c:v>-9.0999999999999872</c:v>
                </c:pt>
                <c:pt idx="7">
                  <c:v>-11.699999999999989</c:v>
                </c:pt>
                <c:pt idx="8">
                  <c:v>-24.438033800290199</c:v>
                </c:pt>
                <c:pt idx="9">
                  <c:v>-22.338033800290198</c:v>
                </c:pt>
                <c:pt idx="10">
                  <c:v>-20.338033800290198</c:v>
                </c:pt>
                <c:pt idx="11">
                  <c:v>-10.806605350869106</c:v>
                </c:pt>
                <c:pt idx="12">
                  <c:v>-9.8066053508691056</c:v>
                </c:pt>
                <c:pt idx="13">
                  <c:v>-9.0066053508691013</c:v>
                </c:pt>
                <c:pt idx="14">
                  <c:v>-14.106605350869103</c:v>
                </c:pt>
                <c:pt idx="15">
                  <c:v>-7.0099324740202178</c:v>
                </c:pt>
                <c:pt idx="16">
                  <c:v>-10.209932474020214</c:v>
                </c:pt>
                <c:pt idx="17">
                  <c:v>-3.8619661997098262</c:v>
                </c:pt>
                <c:pt idx="18">
                  <c:v>-2.4619661997098348</c:v>
                </c:pt>
                <c:pt idx="19">
                  <c:v>-3.3619661997098262</c:v>
                </c:pt>
                <c:pt idx="20">
                  <c:v>-6.9933946491308916</c:v>
                </c:pt>
                <c:pt idx="21">
                  <c:v>-4.3933946491308973</c:v>
                </c:pt>
                <c:pt idx="22">
                  <c:v>-5.4933946491308916</c:v>
                </c:pt>
                <c:pt idx="23">
                  <c:v>-5.5933946491309001</c:v>
                </c:pt>
                <c:pt idx="24">
                  <c:v>-9.6900675259797922</c:v>
                </c:pt>
                <c:pt idx="25">
                  <c:v>-8.1900675259797922</c:v>
                </c:pt>
                <c:pt idx="26">
                  <c:v>-6.1900675259797922</c:v>
                </c:pt>
                <c:pt idx="27">
                  <c:v>-1.7900675259797936</c:v>
                </c:pt>
                <c:pt idx="28">
                  <c:v>-4.9999999999999858</c:v>
                </c:pt>
                <c:pt idx="29">
                  <c:v>-8.5999999999999801</c:v>
                </c:pt>
                <c:pt idx="30">
                  <c:v>-6.6999999999999886</c:v>
                </c:pt>
                <c:pt idx="31">
                  <c:v>-5.9000000000000128</c:v>
                </c:pt>
                <c:pt idx="32">
                  <c:v>-4.9000000000000128</c:v>
                </c:pt>
                <c:pt idx="33">
                  <c:v>-5.0000000000000071</c:v>
                </c:pt>
                <c:pt idx="34">
                  <c:v>-4.2000000000000099</c:v>
                </c:pt>
                <c:pt idx="35">
                  <c:v>-5.7000000000000242</c:v>
                </c:pt>
                <c:pt idx="36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44-44D4-AF23-6C35CAB8B347}"/>
            </c:ext>
          </c:extLst>
        </c:ser>
        <c:ser>
          <c:idx val="1"/>
          <c:order val="1"/>
          <c:tx>
            <c:v>預測為 delta_a3</c:v>
          </c:tx>
          <c:spPr>
            <a:ln w="28575">
              <a:noFill/>
            </a:ln>
          </c:spPr>
          <c:xVal>
            <c:numRef>
              <c:f>Sheet1!$B$2:$B$38</c:f>
              <c:numCache>
                <c:formatCode>General</c:formatCode>
                <c:ptCount val="3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xVal>
          <c:yVal>
            <c:numRef>
              <c:f>pred_delta_a3_3!$B$28:$B$67</c:f>
              <c:numCache>
                <c:formatCode>General</c:formatCode>
                <c:ptCount val="40"/>
                <c:pt idx="0">
                  <c:v>-15.036115579312749</c:v>
                </c:pt>
                <c:pt idx="1">
                  <c:v>-15.036115579312749</c:v>
                </c:pt>
                <c:pt idx="2">
                  <c:v>-13.297967088346258</c:v>
                </c:pt>
                <c:pt idx="3">
                  <c:v>-13.297967088346258</c:v>
                </c:pt>
                <c:pt idx="4">
                  <c:v>-13.297967088346258</c:v>
                </c:pt>
                <c:pt idx="5">
                  <c:v>-12.478814690329267</c:v>
                </c:pt>
                <c:pt idx="6">
                  <c:v>-12.478814690329267</c:v>
                </c:pt>
                <c:pt idx="7">
                  <c:v>-12.478814690329267</c:v>
                </c:pt>
                <c:pt idx="8">
                  <c:v>-19.913380223574372</c:v>
                </c:pt>
                <c:pt idx="9">
                  <c:v>-19.913380223574372</c:v>
                </c:pt>
                <c:pt idx="10">
                  <c:v>-19.913380223574372</c:v>
                </c:pt>
                <c:pt idx="11">
                  <c:v>-19.913380223574372</c:v>
                </c:pt>
                <c:pt idx="12">
                  <c:v>-19.913380223574372</c:v>
                </c:pt>
                <c:pt idx="13">
                  <c:v>-19.913380223574372</c:v>
                </c:pt>
                <c:pt idx="14">
                  <c:v>-12.126115235578654</c:v>
                </c:pt>
                <c:pt idx="15">
                  <c:v>-12.126115235578654</c:v>
                </c:pt>
                <c:pt idx="16">
                  <c:v>-12.126115235578654</c:v>
                </c:pt>
                <c:pt idx="17">
                  <c:v>-12.126115235578654</c:v>
                </c:pt>
                <c:pt idx="18">
                  <c:v>-7.9435851874225101</c:v>
                </c:pt>
                <c:pt idx="19">
                  <c:v>-7.9435851874225101</c:v>
                </c:pt>
                <c:pt idx="20">
                  <c:v>-1.6163419861436452</c:v>
                </c:pt>
                <c:pt idx="21">
                  <c:v>-1.6163419861436452</c:v>
                </c:pt>
                <c:pt idx="22">
                  <c:v>-1.6163419861436452</c:v>
                </c:pt>
                <c:pt idx="23">
                  <c:v>-5.0347019145015004</c:v>
                </c:pt>
                <c:pt idx="24">
                  <c:v>-5.0347019145015004</c:v>
                </c:pt>
                <c:pt idx="25">
                  <c:v>-5.0347019145015004</c:v>
                </c:pt>
                <c:pt idx="26">
                  <c:v>-5.0347019145015004</c:v>
                </c:pt>
                <c:pt idx="27">
                  <c:v>-5.8073342971207644</c:v>
                </c:pt>
                <c:pt idx="28">
                  <c:v>-5.8073342971207644</c:v>
                </c:pt>
                <c:pt idx="29">
                  <c:v>-5.8073342971207644</c:v>
                </c:pt>
                <c:pt idx="30">
                  <c:v>-5.8073342971207644</c:v>
                </c:pt>
                <c:pt idx="31">
                  <c:v>-10.818868891565817</c:v>
                </c:pt>
                <c:pt idx="32">
                  <c:v>-10.818868891565817</c:v>
                </c:pt>
                <c:pt idx="33">
                  <c:v>-10.818868891565817</c:v>
                </c:pt>
                <c:pt idx="34">
                  <c:v>-5.8283399155297211</c:v>
                </c:pt>
                <c:pt idx="35">
                  <c:v>-5.8283399155297211</c:v>
                </c:pt>
                <c:pt idx="36">
                  <c:v>-5.8283399155297211</c:v>
                </c:pt>
                <c:pt idx="37">
                  <c:v>-5.8283399155297211</c:v>
                </c:pt>
                <c:pt idx="38">
                  <c:v>-2.2163050789178715</c:v>
                </c:pt>
                <c:pt idx="39">
                  <c:v>-2.2163050789178715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44-44D4-AF23-6C35CAB8B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05151"/>
        <c:axId val="195607071"/>
      </c:scatterChart>
      <c:valAx>
        <c:axId val="195605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607071"/>
        <c:crosses val="autoZero"/>
        <c:crossBetween val="midCat"/>
      </c:valAx>
      <c:valAx>
        <c:axId val="1956070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delta_a3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9560515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delta_a3</c:v>
          </c:tx>
          <c:spPr>
            <a:ln w="28575">
              <a:noFill/>
            </a:ln>
          </c:spPr>
          <c:xVal>
            <c:numRef>
              <c:f>Sheet1!$C$2:$C$38</c:f>
              <c:numCache>
                <c:formatCode>0.00</c:formatCode>
                <c:ptCount val="37"/>
                <c:pt idx="0">
                  <c:v>0.31058285412302489</c:v>
                </c:pt>
                <c:pt idx="1">
                  <c:v>0.31058285412302489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0.84852813742385702</c:v>
                </c:pt>
                <c:pt idx="6">
                  <c:v>0.84852813742385702</c:v>
                </c:pt>
                <c:pt idx="7">
                  <c:v>0.84852813742385702</c:v>
                </c:pt>
                <c:pt idx="8">
                  <c:v>0.48445078585219159</c:v>
                </c:pt>
                <c:pt idx="9">
                  <c:v>0.48445078585219159</c:v>
                </c:pt>
                <c:pt idx="10">
                  <c:v>0.48445078585219159</c:v>
                </c:pt>
                <c:pt idx="11">
                  <c:v>0.79372539331937708</c:v>
                </c:pt>
                <c:pt idx="12">
                  <c:v>0.79372539331937708</c:v>
                </c:pt>
                <c:pt idx="13">
                  <c:v>0.79372539331937708</c:v>
                </c:pt>
                <c:pt idx="14">
                  <c:v>0.79372539331937708</c:v>
                </c:pt>
                <c:pt idx="15">
                  <c:v>1.0816653826391966</c:v>
                </c:pt>
                <c:pt idx="16">
                  <c:v>1.0816653826391966</c:v>
                </c:pt>
                <c:pt idx="17">
                  <c:v>0.48445078585219159</c:v>
                </c:pt>
                <c:pt idx="18">
                  <c:v>0.48445078585219159</c:v>
                </c:pt>
                <c:pt idx="19">
                  <c:v>0.48445078585219159</c:v>
                </c:pt>
                <c:pt idx="20">
                  <c:v>0.79372539331937708</c:v>
                </c:pt>
                <c:pt idx="21">
                  <c:v>0.79372539331937708</c:v>
                </c:pt>
                <c:pt idx="22">
                  <c:v>0.79372539331937708</c:v>
                </c:pt>
                <c:pt idx="23">
                  <c:v>0.79372539331937708</c:v>
                </c:pt>
                <c:pt idx="24">
                  <c:v>1.0816653826391966</c:v>
                </c:pt>
                <c:pt idx="25">
                  <c:v>1.0816653826391966</c:v>
                </c:pt>
                <c:pt idx="26">
                  <c:v>1.0816653826391966</c:v>
                </c:pt>
                <c:pt idx="27">
                  <c:v>1.0816653826391966</c:v>
                </c:pt>
                <c:pt idx="28">
                  <c:v>0.46587428118453739</c:v>
                </c:pt>
                <c:pt idx="29">
                  <c:v>0.46587428118453739</c:v>
                </c:pt>
                <c:pt idx="30">
                  <c:v>0.46587428118453739</c:v>
                </c:pt>
                <c:pt idx="31">
                  <c:v>0.89999999999999991</c:v>
                </c:pt>
                <c:pt idx="32">
                  <c:v>0.89999999999999991</c:v>
                </c:pt>
                <c:pt idx="33">
                  <c:v>0.89999999999999991</c:v>
                </c:pt>
                <c:pt idx="34">
                  <c:v>0.89999999999999991</c:v>
                </c:pt>
                <c:pt idx="35">
                  <c:v>1.2727922061357855</c:v>
                </c:pt>
                <c:pt idx="36">
                  <c:v>1.2727922061357855</c:v>
                </c:pt>
              </c:numCache>
            </c:numRef>
          </c:xVal>
          <c:yVal>
            <c:numRef>
              <c:f>Sheet1!$U$2:$U$38</c:f>
              <c:numCache>
                <c:formatCode>0.00_ </c:formatCode>
                <c:ptCount val="37"/>
                <c:pt idx="0">
                  <c:v>-17.200000000000003</c:v>
                </c:pt>
                <c:pt idx="1">
                  <c:v>-19</c:v>
                </c:pt>
                <c:pt idx="2">
                  <c:v>-13.199999999999996</c:v>
                </c:pt>
                <c:pt idx="3">
                  <c:v>-8.1999999999999957</c:v>
                </c:pt>
                <c:pt idx="4">
                  <c:v>-10.699999999999996</c:v>
                </c:pt>
                <c:pt idx="5">
                  <c:v>-8.4999999999999858</c:v>
                </c:pt>
                <c:pt idx="6">
                  <c:v>-9.0999999999999872</c:v>
                </c:pt>
                <c:pt idx="7">
                  <c:v>-11.699999999999989</c:v>
                </c:pt>
                <c:pt idx="8">
                  <c:v>-24.438033800290199</c:v>
                </c:pt>
                <c:pt idx="9">
                  <c:v>-22.338033800290198</c:v>
                </c:pt>
                <c:pt idx="10">
                  <c:v>-20.338033800290198</c:v>
                </c:pt>
                <c:pt idx="11">
                  <c:v>-10.806605350869106</c:v>
                </c:pt>
                <c:pt idx="12">
                  <c:v>-9.8066053508691056</c:v>
                </c:pt>
                <c:pt idx="13">
                  <c:v>-9.0066053508691013</c:v>
                </c:pt>
                <c:pt idx="14">
                  <c:v>-14.106605350869103</c:v>
                </c:pt>
                <c:pt idx="15">
                  <c:v>-7.0099324740202178</c:v>
                </c:pt>
                <c:pt idx="16">
                  <c:v>-10.209932474020214</c:v>
                </c:pt>
                <c:pt idx="17">
                  <c:v>-3.8619661997098262</c:v>
                </c:pt>
                <c:pt idx="18">
                  <c:v>-2.4619661997098348</c:v>
                </c:pt>
                <c:pt idx="19">
                  <c:v>-3.3619661997098262</c:v>
                </c:pt>
                <c:pt idx="20">
                  <c:v>-6.9933946491308916</c:v>
                </c:pt>
                <c:pt idx="21">
                  <c:v>-4.3933946491308973</c:v>
                </c:pt>
                <c:pt idx="22">
                  <c:v>-5.4933946491308916</c:v>
                </c:pt>
                <c:pt idx="23">
                  <c:v>-5.5933946491309001</c:v>
                </c:pt>
                <c:pt idx="24">
                  <c:v>-9.6900675259797922</c:v>
                </c:pt>
                <c:pt idx="25">
                  <c:v>-8.1900675259797922</c:v>
                </c:pt>
                <c:pt idx="26">
                  <c:v>-6.1900675259797922</c:v>
                </c:pt>
                <c:pt idx="27">
                  <c:v>-1.7900675259797936</c:v>
                </c:pt>
                <c:pt idx="28">
                  <c:v>-4.9999999999999858</c:v>
                </c:pt>
                <c:pt idx="29">
                  <c:v>-8.5999999999999801</c:v>
                </c:pt>
                <c:pt idx="30">
                  <c:v>-6.6999999999999886</c:v>
                </c:pt>
                <c:pt idx="31">
                  <c:v>-5.9000000000000128</c:v>
                </c:pt>
                <c:pt idx="32">
                  <c:v>-4.9000000000000128</c:v>
                </c:pt>
                <c:pt idx="33">
                  <c:v>-5.0000000000000071</c:v>
                </c:pt>
                <c:pt idx="34">
                  <c:v>-4.2000000000000099</c:v>
                </c:pt>
                <c:pt idx="35">
                  <c:v>-5.7000000000000242</c:v>
                </c:pt>
                <c:pt idx="36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32-46EF-8F61-621DCAF9816F}"/>
            </c:ext>
          </c:extLst>
        </c:ser>
        <c:ser>
          <c:idx val="1"/>
          <c:order val="1"/>
          <c:tx>
            <c:v>預測為 delta_a3</c:v>
          </c:tx>
          <c:spPr>
            <a:ln w="28575">
              <a:noFill/>
            </a:ln>
          </c:spPr>
          <c:xVal>
            <c:numRef>
              <c:f>Sheet1!$C$2:$C$38</c:f>
              <c:numCache>
                <c:formatCode>0.00</c:formatCode>
                <c:ptCount val="37"/>
                <c:pt idx="0">
                  <c:v>0.31058285412302489</c:v>
                </c:pt>
                <c:pt idx="1">
                  <c:v>0.31058285412302489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0.84852813742385702</c:v>
                </c:pt>
                <c:pt idx="6">
                  <c:v>0.84852813742385702</c:v>
                </c:pt>
                <c:pt idx="7">
                  <c:v>0.84852813742385702</c:v>
                </c:pt>
                <c:pt idx="8">
                  <c:v>0.48445078585219159</c:v>
                </c:pt>
                <c:pt idx="9">
                  <c:v>0.48445078585219159</c:v>
                </c:pt>
                <c:pt idx="10">
                  <c:v>0.48445078585219159</c:v>
                </c:pt>
                <c:pt idx="11">
                  <c:v>0.79372539331937708</c:v>
                </c:pt>
                <c:pt idx="12">
                  <c:v>0.79372539331937708</c:v>
                </c:pt>
                <c:pt idx="13">
                  <c:v>0.79372539331937708</c:v>
                </c:pt>
                <c:pt idx="14">
                  <c:v>0.79372539331937708</c:v>
                </c:pt>
                <c:pt idx="15">
                  <c:v>1.0816653826391966</c:v>
                </c:pt>
                <c:pt idx="16">
                  <c:v>1.0816653826391966</c:v>
                </c:pt>
                <c:pt idx="17">
                  <c:v>0.48445078585219159</c:v>
                </c:pt>
                <c:pt idx="18">
                  <c:v>0.48445078585219159</c:v>
                </c:pt>
                <c:pt idx="19">
                  <c:v>0.48445078585219159</c:v>
                </c:pt>
                <c:pt idx="20">
                  <c:v>0.79372539331937708</c:v>
                </c:pt>
                <c:pt idx="21">
                  <c:v>0.79372539331937708</c:v>
                </c:pt>
                <c:pt idx="22">
                  <c:v>0.79372539331937708</c:v>
                </c:pt>
                <c:pt idx="23">
                  <c:v>0.79372539331937708</c:v>
                </c:pt>
                <c:pt idx="24">
                  <c:v>1.0816653826391966</c:v>
                </c:pt>
                <c:pt idx="25">
                  <c:v>1.0816653826391966</c:v>
                </c:pt>
                <c:pt idx="26">
                  <c:v>1.0816653826391966</c:v>
                </c:pt>
                <c:pt idx="27">
                  <c:v>1.0816653826391966</c:v>
                </c:pt>
                <c:pt idx="28">
                  <c:v>0.46587428118453739</c:v>
                </c:pt>
                <c:pt idx="29">
                  <c:v>0.46587428118453739</c:v>
                </c:pt>
                <c:pt idx="30">
                  <c:v>0.46587428118453739</c:v>
                </c:pt>
                <c:pt idx="31">
                  <c:v>0.89999999999999991</c:v>
                </c:pt>
                <c:pt idx="32">
                  <c:v>0.89999999999999991</c:v>
                </c:pt>
                <c:pt idx="33">
                  <c:v>0.89999999999999991</c:v>
                </c:pt>
                <c:pt idx="34">
                  <c:v>0.89999999999999991</c:v>
                </c:pt>
                <c:pt idx="35">
                  <c:v>1.2727922061357855</c:v>
                </c:pt>
                <c:pt idx="36">
                  <c:v>1.2727922061357855</c:v>
                </c:pt>
              </c:numCache>
            </c:numRef>
          </c:xVal>
          <c:yVal>
            <c:numRef>
              <c:f>pred_delta_a3_3!$B$28:$B$67</c:f>
              <c:numCache>
                <c:formatCode>General</c:formatCode>
                <c:ptCount val="40"/>
                <c:pt idx="0">
                  <c:v>-15.036115579312749</c:v>
                </c:pt>
                <c:pt idx="1">
                  <c:v>-15.036115579312749</c:v>
                </c:pt>
                <c:pt idx="2">
                  <c:v>-13.297967088346258</c:v>
                </c:pt>
                <c:pt idx="3">
                  <c:v>-13.297967088346258</c:v>
                </c:pt>
                <c:pt idx="4">
                  <c:v>-13.297967088346258</c:v>
                </c:pt>
                <c:pt idx="5">
                  <c:v>-12.478814690329267</c:v>
                </c:pt>
                <c:pt idx="6">
                  <c:v>-12.478814690329267</c:v>
                </c:pt>
                <c:pt idx="7">
                  <c:v>-12.478814690329267</c:v>
                </c:pt>
                <c:pt idx="8">
                  <c:v>-19.913380223574372</c:v>
                </c:pt>
                <c:pt idx="9">
                  <c:v>-19.913380223574372</c:v>
                </c:pt>
                <c:pt idx="10">
                  <c:v>-19.913380223574372</c:v>
                </c:pt>
                <c:pt idx="11">
                  <c:v>-19.913380223574372</c:v>
                </c:pt>
                <c:pt idx="12">
                  <c:v>-19.913380223574372</c:v>
                </c:pt>
                <c:pt idx="13">
                  <c:v>-19.913380223574372</c:v>
                </c:pt>
                <c:pt idx="14">
                  <c:v>-12.126115235578654</c:v>
                </c:pt>
                <c:pt idx="15">
                  <c:v>-12.126115235578654</c:v>
                </c:pt>
                <c:pt idx="16">
                  <c:v>-12.126115235578654</c:v>
                </c:pt>
                <c:pt idx="17">
                  <c:v>-12.126115235578654</c:v>
                </c:pt>
                <c:pt idx="18">
                  <c:v>-7.9435851874225101</c:v>
                </c:pt>
                <c:pt idx="19">
                  <c:v>-7.9435851874225101</c:v>
                </c:pt>
                <c:pt idx="20">
                  <c:v>-1.6163419861436452</c:v>
                </c:pt>
                <c:pt idx="21">
                  <c:v>-1.6163419861436452</c:v>
                </c:pt>
                <c:pt idx="22">
                  <c:v>-1.6163419861436452</c:v>
                </c:pt>
                <c:pt idx="23">
                  <c:v>-5.0347019145015004</c:v>
                </c:pt>
                <c:pt idx="24">
                  <c:v>-5.0347019145015004</c:v>
                </c:pt>
                <c:pt idx="25">
                  <c:v>-5.0347019145015004</c:v>
                </c:pt>
                <c:pt idx="26">
                  <c:v>-5.0347019145015004</c:v>
                </c:pt>
                <c:pt idx="27">
                  <c:v>-5.8073342971207644</c:v>
                </c:pt>
                <c:pt idx="28">
                  <c:v>-5.8073342971207644</c:v>
                </c:pt>
                <c:pt idx="29">
                  <c:v>-5.8073342971207644</c:v>
                </c:pt>
                <c:pt idx="30">
                  <c:v>-5.8073342971207644</c:v>
                </c:pt>
                <c:pt idx="31">
                  <c:v>-10.818868891565817</c:v>
                </c:pt>
                <c:pt idx="32">
                  <c:v>-10.818868891565817</c:v>
                </c:pt>
                <c:pt idx="33">
                  <c:v>-10.818868891565817</c:v>
                </c:pt>
                <c:pt idx="34">
                  <c:v>-5.8283399155297211</c:v>
                </c:pt>
                <c:pt idx="35">
                  <c:v>-5.8283399155297211</c:v>
                </c:pt>
                <c:pt idx="36">
                  <c:v>-5.8283399155297211</c:v>
                </c:pt>
                <c:pt idx="37">
                  <c:v>-5.8283399155297211</c:v>
                </c:pt>
                <c:pt idx="38">
                  <c:v>-2.2163050789178715</c:v>
                </c:pt>
                <c:pt idx="39">
                  <c:v>-2.2163050789178715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32-46EF-8F61-621DCAF98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91135"/>
        <c:axId val="193494015"/>
      </c:scatterChart>
      <c:valAx>
        <c:axId val="193491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3494015"/>
        <c:crosses val="autoZero"/>
        <c:crossBetween val="midCat"/>
      </c:valAx>
      <c:valAx>
        <c:axId val="1934940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delta_a3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934911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delta_a3</c:v>
          </c:tx>
          <c:spPr>
            <a:ln w="28575">
              <a:noFill/>
            </a:ln>
          </c:spPr>
          <c:xVal>
            <c:numRef>
              <c:f>Sheet1!$D$2:$D$38</c:f>
              <c:numCache>
                <c:formatCode>0</c:formatCode>
                <c:ptCount val="37"/>
                <c:pt idx="0">
                  <c:v>75</c:v>
                </c:pt>
                <c:pt idx="1">
                  <c:v>75</c:v>
                </c:pt>
                <c:pt idx="2">
                  <c:v>60.000000000000007</c:v>
                </c:pt>
                <c:pt idx="3">
                  <c:v>60.000000000000007</c:v>
                </c:pt>
                <c:pt idx="4">
                  <c:v>60.000000000000007</c:v>
                </c:pt>
                <c:pt idx="5">
                  <c:v>45.000000000000014</c:v>
                </c:pt>
                <c:pt idx="6">
                  <c:v>45.000000000000014</c:v>
                </c:pt>
                <c:pt idx="7">
                  <c:v>45.000000000000014</c:v>
                </c:pt>
                <c:pt idx="8">
                  <c:v>38.261966199709804</c:v>
                </c:pt>
                <c:pt idx="9">
                  <c:v>38.261966199709804</c:v>
                </c:pt>
                <c:pt idx="10">
                  <c:v>38.261966199709804</c:v>
                </c:pt>
                <c:pt idx="11">
                  <c:v>40.893394649130897</c:v>
                </c:pt>
                <c:pt idx="12">
                  <c:v>40.893394649130897</c:v>
                </c:pt>
                <c:pt idx="13">
                  <c:v>40.893394649130897</c:v>
                </c:pt>
                <c:pt idx="14">
                  <c:v>40.893394649130897</c:v>
                </c:pt>
                <c:pt idx="15">
                  <c:v>33.690067525979785</c:v>
                </c:pt>
                <c:pt idx="16">
                  <c:v>33.690067525979785</c:v>
                </c:pt>
                <c:pt idx="17">
                  <c:v>111.73803380029017</c:v>
                </c:pt>
                <c:pt idx="18">
                  <c:v>111.73803380029017</c:v>
                </c:pt>
                <c:pt idx="19">
                  <c:v>111.73803380029017</c:v>
                </c:pt>
                <c:pt idx="20">
                  <c:v>79.106605350869103</c:v>
                </c:pt>
                <c:pt idx="21">
                  <c:v>79.106605350869103</c:v>
                </c:pt>
                <c:pt idx="22">
                  <c:v>79.106605350869103</c:v>
                </c:pt>
                <c:pt idx="23">
                  <c:v>79.106605350869103</c:v>
                </c:pt>
                <c:pt idx="24">
                  <c:v>56.309932474020208</c:v>
                </c:pt>
                <c:pt idx="25">
                  <c:v>56.309932474020208</c:v>
                </c:pt>
                <c:pt idx="26">
                  <c:v>56.309932474020208</c:v>
                </c:pt>
                <c:pt idx="27">
                  <c:v>56.309932474020208</c:v>
                </c:pt>
                <c:pt idx="28">
                  <c:v>75.000000000000014</c:v>
                </c:pt>
                <c:pt idx="29">
                  <c:v>75.000000000000014</c:v>
                </c:pt>
                <c:pt idx="30">
                  <c:v>75.000000000000014</c:v>
                </c:pt>
                <c:pt idx="31">
                  <c:v>59.999999999999993</c:v>
                </c:pt>
                <c:pt idx="32">
                  <c:v>59.999999999999993</c:v>
                </c:pt>
                <c:pt idx="33">
                  <c:v>59.999999999999993</c:v>
                </c:pt>
                <c:pt idx="34">
                  <c:v>59.999999999999993</c:v>
                </c:pt>
                <c:pt idx="35">
                  <c:v>44.999999999999979</c:v>
                </c:pt>
                <c:pt idx="36">
                  <c:v>44.999999999999979</c:v>
                </c:pt>
              </c:numCache>
            </c:numRef>
          </c:xVal>
          <c:yVal>
            <c:numRef>
              <c:f>Sheet1!$U$2:$U$38</c:f>
              <c:numCache>
                <c:formatCode>0.00_ </c:formatCode>
                <c:ptCount val="37"/>
                <c:pt idx="0">
                  <c:v>-17.200000000000003</c:v>
                </c:pt>
                <c:pt idx="1">
                  <c:v>-19</c:v>
                </c:pt>
                <c:pt idx="2">
                  <c:v>-13.199999999999996</c:v>
                </c:pt>
                <c:pt idx="3">
                  <c:v>-8.1999999999999957</c:v>
                </c:pt>
                <c:pt idx="4">
                  <c:v>-10.699999999999996</c:v>
                </c:pt>
                <c:pt idx="5">
                  <c:v>-8.4999999999999858</c:v>
                </c:pt>
                <c:pt idx="6">
                  <c:v>-9.0999999999999872</c:v>
                </c:pt>
                <c:pt idx="7">
                  <c:v>-11.699999999999989</c:v>
                </c:pt>
                <c:pt idx="8">
                  <c:v>-24.438033800290199</c:v>
                </c:pt>
                <c:pt idx="9">
                  <c:v>-22.338033800290198</c:v>
                </c:pt>
                <c:pt idx="10">
                  <c:v>-20.338033800290198</c:v>
                </c:pt>
                <c:pt idx="11">
                  <c:v>-10.806605350869106</c:v>
                </c:pt>
                <c:pt idx="12">
                  <c:v>-9.8066053508691056</c:v>
                </c:pt>
                <c:pt idx="13">
                  <c:v>-9.0066053508691013</c:v>
                </c:pt>
                <c:pt idx="14">
                  <c:v>-14.106605350869103</c:v>
                </c:pt>
                <c:pt idx="15">
                  <c:v>-7.0099324740202178</c:v>
                </c:pt>
                <c:pt idx="16">
                  <c:v>-10.209932474020214</c:v>
                </c:pt>
                <c:pt idx="17">
                  <c:v>-3.8619661997098262</c:v>
                </c:pt>
                <c:pt idx="18">
                  <c:v>-2.4619661997098348</c:v>
                </c:pt>
                <c:pt idx="19">
                  <c:v>-3.3619661997098262</c:v>
                </c:pt>
                <c:pt idx="20">
                  <c:v>-6.9933946491308916</c:v>
                </c:pt>
                <c:pt idx="21">
                  <c:v>-4.3933946491308973</c:v>
                </c:pt>
                <c:pt idx="22">
                  <c:v>-5.4933946491308916</c:v>
                </c:pt>
                <c:pt idx="23">
                  <c:v>-5.5933946491309001</c:v>
                </c:pt>
                <c:pt idx="24">
                  <c:v>-9.6900675259797922</c:v>
                </c:pt>
                <c:pt idx="25">
                  <c:v>-8.1900675259797922</c:v>
                </c:pt>
                <c:pt idx="26">
                  <c:v>-6.1900675259797922</c:v>
                </c:pt>
                <c:pt idx="27">
                  <c:v>-1.7900675259797936</c:v>
                </c:pt>
                <c:pt idx="28">
                  <c:v>-4.9999999999999858</c:v>
                </c:pt>
                <c:pt idx="29">
                  <c:v>-8.5999999999999801</c:v>
                </c:pt>
                <c:pt idx="30">
                  <c:v>-6.6999999999999886</c:v>
                </c:pt>
                <c:pt idx="31">
                  <c:v>-5.9000000000000128</c:v>
                </c:pt>
                <c:pt idx="32">
                  <c:v>-4.9000000000000128</c:v>
                </c:pt>
                <c:pt idx="33">
                  <c:v>-5.0000000000000071</c:v>
                </c:pt>
                <c:pt idx="34">
                  <c:v>-4.2000000000000099</c:v>
                </c:pt>
                <c:pt idx="35">
                  <c:v>-5.7000000000000242</c:v>
                </c:pt>
                <c:pt idx="36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4D-4774-9558-8E60ADBD581D}"/>
            </c:ext>
          </c:extLst>
        </c:ser>
        <c:ser>
          <c:idx val="1"/>
          <c:order val="1"/>
          <c:tx>
            <c:v>預測為 delta_a3</c:v>
          </c:tx>
          <c:spPr>
            <a:ln w="28575">
              <a:noFill/>
            </a:ln>
          </c:spPr>
          <c:xVal>
            <c:numRef>
              <c:f>Sheet1!$D$2:$D$38</c:f>
              <c:numCache>
                <c:formatCode>0</c:formatCode>
                <c:ptCount val="37"/>
                <c:pt idx="0">
                  <c:v>75</c:v>
                </c:pt>
                <c:pt idx="1">
                  <c:v>75</c:v>
                </c:pt>
                <c:pt idx="2">
                  <c:v>60.000000000000007</c:v>
                </c:pt>
                <c:pt idx="3">
                  <c:v>60.000000000000007</c:v>
                </c:pt>
                <c:pt idx="4">
                  <c:v>60.000000000000007</c:v>
                </c:pt>
                <c:pt idx="5">
                  <c:v>45.000000000000014</c:v>
                </c:pt>
                <c:pt idx="6">
                  <c:v>45.000000000000014</c:v>
                </c:pt>
                <c:pt idx="7">
                  <c:v>45.000000000000014</c:v>
                </c:pt>
                <c:pt idx="8">
                  <c:v>38.261966199709804</c:v>
                </c:pt>
                <c:pt idx="9">
                  <c:v>38.261966199709804</c:v>
                </c:pt>
                <c:pt idx="10">
                  <c:v>38.261966199709804</c:v>
                </c:pt>
                <c:pt idx="11">
                  <c:v>40.893394649130897</c:v>
                </c:pt>
                <c:pt idx="12">
                  <c:v>40.893394649130897</c:v>
                </c:pt>
                <c:pt idx="13">
                  <c:v>40.893394649130897</c:v>
                </c:pt>
                <c:pt idx="14">
                  <c:v>40.893394649130897</c:v>
                </c:pt>
                <c:pt idx="15">
                  <c:v>33.690067525979785</c:v>
                </c:pt>
                <c:pt idx="16">
                  <c:v>33.690067525979785</c:v>
                </c:pt>
                <c:pt idx="17">
                  <c:v>111.73803380029017</c:v>
                </c:pt>
                <c:pt idx="18">
                  <c:v>111.73803380029017</c:v>
                </c:pt>
                <c:pt idx="19">
                  <c:v>111.73803380029017</c:v>
                </c:pt>
                <c:pt idx="20">
                  <c:v>79.106605350869103</c:v>
                </c:pt>
                <c:pt idx="21">
                  <c:v>79.106605350869103</c:v>
                </c:pt>
                <c:pt idx="22">
                  <c:v>79.106605350869103</c:v>
                </c:pt>
                <c:pt idx="23">
                  <c:v>79.106605350869103</c:v>
                </c:pt>
                <c:pt idx="24">
                  <c:v>56.309932474020208</c:v>
                </c:pt>
                <c:pt idx="25">
                  <c:v>56.309932474020208</c:v>
                </c:pt>
                <c:pt idx="26">
                  <c:v>56.309932474020208</c:v>
                </c:pt>
                <c:pt idx="27">
                  <c:v>56.309932474020208</c:v>
                </c:pt>
                <c:pt idx="28">
                  <c:v>75.000000000000014</c:v>
                </c:pt>
                <c:pt idx="29">
                  <c:v>75.000000000000014</c:v>
                </c:pt>
                <c:pt idx="30">
                  <c:v>75.000000000000014</c:v>
                </c:pt>
                <c:pt idx="31">
                  <c:v>59.999999999999993</c:v>
                </c:pt>
                <c:pt idx="32">
                  <c:v>59.999999999999993</c:v>
                </c:pt>
                <c:pt idx="33">
                  <c:v>59.999999999999993</c:v>
                </c:pt>
                <c:pt idx="34">
                  <c:v>59.999999999999993</c:v>
                </c:pt>
                <c:pt idx="35">
                  <c:v>44.999999999999979</c:v>
                </c:pt>
                <c:pt idx="36">
                  <c:v>44.999999999999979</c:v>
                </c:pt>
              </c:numCache>
            </c:numRef>
          </c:xVal>
          <c:yVal>
            <c:numRef>
              <c:f>pred_delta_a3_3!$B$28:$B$67</c:f>
              <c:numCache>
                <c:formatCode>General</c:formatCode>
                <c:ptCount val="40"/>
                <c:pt idx="0">
                  <c:v>-15.036115579312749</c:v>
                </c:pt>
                <c:pt idx="1">
                  <c:v>-15.036115579312749</c:v>
                </c:pt>
                <c:pt idx="2">
                  <c:v>-13.297967088346258</c:v>
                </c:pt>
                <c:pt idx="3">
                  <c:v>-13.297967088346258</c:v>
                </c:pt>
                <c:pt idx="4">
                  <c:v>-13.297967088346258</c:v>
                </c:pt>
                <c:pt idx="5">
                  <c:v>-12.478814690329267</c:v>
                </c:pt>
                <c:pt idx="6">
                  <c:v>-12.478814690329267</c:v>
                </c:pt>
                <c:pt idx="7">
                  <c:v>-12.478814690329267</c:v>
                </c:pt>
                <c:pt idx="8">
                  <c:v>-19.913380223574372</c:v>
                </c:pt>
                <c:pt idx="9">
                  <c:v>-19.913380223574372</c:v>
                </c:pt>
                <c:pt idx="10">
                  <c:v>-19.913380223574372</c:v>
                </c:pt>
                <c:pt idx="11">
                  <c:v>-19.913380223574372</c:v>
                </c:pt>
                <c:pt idx="12">
                  <c:v>-19.913380223574372</c:v>
                </c:pt>
                <c:pt idx="13">
                  <c:v>-19.913380223574372</c:v>
                </c:pt>
                <c:pt idx="14">
                  <c:v>-12.126115235578654</c:v>
                </c:pt>
                <c:pt idx="15">
                  <c:v>-12.126115235578654</c:v>
                </c:pt>
                <c:pt idx="16">
                  <c:v>-12.126115235578654</c:v>
                </c:pt>
                <c:pt idx="17">
                  <c:v>-12.126115235578654</c:v>
                </c:pt>
                <c:pt idx="18">
                  <c:v>-7.9435851874225101</c:v>
                </c:pt>
                <c:pt idx="19">
                  <c:v>-7.9435851874225101</c:v>
                </c:pt>
                <c:pt idx="20">
                  <c:v>-1.6163419861436452</c:v>
                </c:pt>
                <c:pt idx="21">
                  <c:v>-1.6163419861436452</c:v>
                </c:pt>
                <c:pt idx="22">
                  <c:v>-1.6163419861436452</c:v>
                </c:pt>
                <c:pt idx="23">
                  <c:v>-5.0347019145015004</c:v>
                </c:pt>
                <c:pt idx="24">
                  <c:v>-5.0347019145015004</c:v>
                </c:pt>
                <c:pt idx="25">
                  <c:v>-5.0347019145015004</c:v>
                </c:pt>
                <c:pt idx="26">
                  <c:v>-5.0347019145015004</c:v>
                </c:pt>
                <c:pt idx="27">
                  <c:v>-5.8073342971207644</c:v>
                </c:pt>
                <c:pt idx="28">
                  <c:v>-5.8073342971207644</c:v>
                </c:pt>
                <c:pt idx="29">
                  <c:v>-5.8073342971207644</c:v>
                </c:pt>
                <c:pt idx="30">
                  <c:v>-5.8073342971207644</c:v>
                </c:pt>
                <c:pt idx="31">
                  <c:v>-10.818868891565817</c:v>
                </c:pt>
                <c:pt idx="32">
                  <c:v>-10.818868891565817</c:v>
                </c:pt>
                <c:pt idx="33">
                  <c:v>-10.818868891565817</c:v>
                </c:pt>
                <c:pt idx="34">
                  <c:v>-5.8283399155297211</c:v>
                </c:pt>
                <c:pt idx="35">
                  <c:v>-5.8283399155297211</c:v>
                </c:pt>
                <c:pt idx="36">
                  <c:v>-5.8283399155297211</c:v>
                </c:pt>
                <c:pt idx="37">
                  <c:v>-5.8283399155297211</c:v>
                </c:pt>
                <c:pt idx="38">
                  <c:v>-2.2163050789178715</c:v>
                </c:pt>
                <c:pt idx="39">
                  <c:v>-2.2163050789178715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4D-4774-9558-8E60ADBD5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91135"/>
        <c:axId val="201794095"/>
      </c:scatterChart>
      <c:valAx>
        <c:axId val="193491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01794095"/>
        <c:crosses val="autoZero"/>
        <c:crossBetween val="midCat"/>
      </c:valAx>
      <c:valAx>
        <c:axId val="201794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delta_a3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934911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pred_delta_a3_3!$E$28:$E$67</c:f>
              <c:numCache>
                <c:formatCode>General</c:formatCode>
                <c:ptCount val="40"/>
                <c:pt idx="0">
                  <c:v>1.25</c:v>
                </c:pt>
                <c:pt idx="1">
                  <c:v>3.75</c:v>
                </c:pt>
                <c:pt idx="2">
                  <c:v>6.25</c:v>
                </c:pt>
                <c:pt idx="3">
                  <c:v>8.75</c:v>
                </c:pt>
                <c:pt idx="4">
                  <c:v>11.25</c:v>
                </c:pt>
                <c:pt idx="5">
                  <c:v>13.75</c:v>
                </c:pt>
                <c:pt idx="6">
                  <c:v>16.25</c:v>
                </c:pt>
                <c:pt idx="7">
                  <c:v>18.75</c:v>
                </c:pt>
                <c:pt idx="8">
                  <c:v>21.25</c:v>
                </c:pt>
                <c:pt idx="9">
                  <c:v>23.75</c:v>
                </c:pt>
                <c:pt idx="10">
                  <c:v>26.25</c:v>
                </c:pt>
                <c:pt idx="11">
                  <c:v>28.75</c:v>
                </c:pt>
                <c:pt idx="12">
                  <c:v>31.25</c:v>
                </c:pt>
                <c:pt idx="13">
                  <c:v>33.75</c:v>
                </c:pt>
                <c:pt idx="14">
                  <c:v>36.25</c:v>
                </c:pt>
                <c:pt idx="15">
                  <c:v>38.75</c:v>
                </c:pt>
                <c:pt idx="16">
                  <c:v>41.25</c:v>
                </c:pt>
                <c:pt idx="17">
                  <c:v>43.75</c:v>
                </c:pt>
                <c:pt idx="18">
                  <c:v>46.25</c:v>
                </c:pt>
                <c:pt idx="19">
                  <c:v>48.75</c:v>
                </c:pt>
                <c:pt idx="20">
                  <c:v>51.25</c:v>
                </c:pt>
                <c:pt idx="21">
                  <c:v>53.75</c:v>
                </c:pt>
                <c:pt idx="22">
                  <c:v>56.25</c:v>
                </c:pt>
                <c:pt idx="23">
                  <c:v>58.75</c:v>
                </c:pt>
                <c:pt idx="24">
                  <c:v>61.25</c:v>
                </c:pt>
                <c:pt idx="25">
                  <c:v>63.75</c:v>
                </c:pt>
                <c:pt idx="26">
                  <c:v>66.25</c:v>
                </c:pt>
                <c:pt idx="27">
                  <c:v>68.75</c:v>
                </c:pt>
                <c:pt idx="28">
                  <c:v>71.25</c:v>
                </c:pt>
                <c:pt idx="29">
                  <c:v>73.75</c:v>
                </c:pt>
                <c:pt idx="30">
                  <c:v>76.25</c:v>
                </c:pt>
                <c:pt idx="31">
                  <c:v>78.75</c:v>
                </c:pt>
                <c:pt idx="32">
                  <c:v>81.25</c:v>
                </c:pt>
                <c:pt idx="33">
                  <c:v>83.75</c:v>
                </c:pt>
                <c:pt idx="34">
                  <c:v>86.25</c:v>
                </c:pt>
                <c:pt idx="35">
                  <c:v>88.75</c:v>
                </c:pt>
                <c:pt idx="36">
                  <c:v>91.25</c:v>
                </c:pt>
                <c:pt idx="37">
                  <c:v>93.75</c:v>
                </c:pt>
                <c:pt idx="38">
                  <c:v>96.25</c:v>
                </c:pt>
                <c:pt idx="39">
                  <c:v>98.75</c:v>
                </c:pt>
              </c:numCache>
            </c:numRef>
          </c:xVal>
          <c:yVal>
            <c:numRef>
              <c:f>pred_delta_a3_3!$F$28:$F$67</c:f>
              <c:numCache>
                <c:formatCode>General</c:formatCode>
                <c:ptCount val="40"/>
                <c:pt idx="0">
                  <c:v>-24.438033800290199</c:v>
                </c:pt>
                <c:pt idx="1">
                  <c:v>-22.838033800290198</c:v>
                </c:pt>
                <c:pt idx="2">
                  <c:v>-22.338033800290198</c:v>
                </c:pt>
                <c:pt idx="3">
                  <c:v>-21.938033800290199</c:v>
                </c:pt>
                <c:pt idx="4">
                  <c:v>-20.838033800290198</c:v>
                </c:pt>
                <c:pt idx="5">
                  <c:v>-20.338033800290198</c:v>
                </c:pt>
                <c:pt idx="6">
                  <c:v>-19</c:v>
                </c:pt>
                <c:pt idx="7">
                  <c:v>-17.200000000000003</c:v>
                </c:pt>
                <c:pt idx="8">
                  <c:v>-14.106605350869103</c:v>
                </c:pt>
                <c:pt idx="9">
                  <c:v>-13.199999999999996</c:v>
                </c:pt>
                <c:pt idx="10">
                  <c:v>-11.699999999999989</c:v>
                </c:pt>
                <c:pt idx="11">
                  <c:v>-10.806605350869106</c:v>
                </c:pt>
                <c:pt idx="12">
                  <c:v>-10.699999999999996</c:v>
                </c:pt>
                <c:pt idx="13">
                  <c:v>-10.209932474020214</c:v>
                </c:pt>
                <c:pt idx="14">
                  <c:v>-9.8066053508691056</c:v>
                </c:pt>
                <c:pt idx="15">
                  <c:v>-9.6900675259797922</c:v>
                </c:pt>
                <c:pt idx="16">
                  <c:v>-9.0999999999999872</c:v>
                </c:pt>
                <c:pt idx="17">
                  <c:v>-9.0066053508691013</c:v>
                </c:pt>
                <c:pt idx="18">
                  <c:v>-8.5999999999999801</c:v>
                </c:pt>
                <c:pt idx="19">
                  <c:v>-8.4999999999999858</c:v>
                </c:pt>
                <c:pt idx="20">
                  <c:v>-8.1999999999999957</c:v>
                </c:pt>
                <c:pt idx="21">
                  <c:v>-8.1900675259797922</c:v>
                </c:pt>
                <c:pt idx="22">
                  <c:v>-7.0099324740202178</c:v>
                </c:pt>
                <c:pt idx="23">
                  <c:v>-6.9933946491308916</c:v>
                </c:pt>
                <c:pt idx="24">
                  <c:v>-6.6999999999999886</c:v>
                </c:pt>
                <c:pt idx="25">
                  <c:v>-6.1900675259797922</c:v>
                </c:pt>
                <c:pt idx="26">
                  <c:v>-5.9000000000000128</c:v>
                </c:pt>
                <c:pt idx="27">
                  <c:v>-5.7000000000000242</c:v>
                </c:pt>
                <c:pt idx="28">
                  <c:v>-5.5933946491309001</c:v>
                </c:pt>
                <c:pt idx="29">
                  <c:v>-5.4933946491308916</c:v>
                </c:pt>
                <c:pt idx="30">
                  <c:v>-5.0000000000000071</c:v>
                </c:pt>
                <c:pt idx="31">
                  <c:v>-4.9999999999999858</c:v>
                </c:pt>
                <c:pt idx="32">
                  <c:v>-4.9000000000000128</c:v>
                </c:pt>
                <c:pt idx="33">
                  <c:v>-4.4000000000000199</c:v>
                </c:pt>
                <c:pt idx="34">
                  <c:v>-4.3933946491308973</c:v>
                </c:pt>
                <c:pt idx="35">
                  <c:v>-4.2000000000000099</c:v>
                </c:pt>
                <c:pt idx="36">
                  <c:v>-3.8619661997098262</c:v>
                </c:pt>
                <c:pt idx="37">
                  <c:v>-3.3619661997098262</c:v>
                </c:pt>
                <c:pt idx="38">
                  <c:v>-2.4619661997098348</c:v>
                </c:pt>
                <c:pt idx="39">
                  <c:v>-1.7900675259797936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EA-411F-8F55-247621297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450479"/>
        <c:axId val="217453359"/>
      </c:scatterChart>
      <c:valAx>
        <c:axId val="217450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7453359"/>
        <c:crosses val="autoZero"/>
        <c:crossBetween val="midCat"/>
      </c:valAx>
      <c:valAx>
        <c:axId val="2174533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delta_a3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74504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Sheet1!$A$2:$A$38</c:f>
              <c:numCache>
                <c:formatCode>General</c:formatCode>
                <c:ptCount val="3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xVal>
          <c:yVal>
            <c:numRef>
              <c:f>Sheet1!$P$2:$P$38</c:f>
              <c:numCache>
                <c:formatCode>0.00</c:formatCode>
                <c:ptCount val="37"/>
                <c:pt idx="0">
                  <c:v>92.2</c:v>
                </c:pt>
                <c:pt idx="1">
                  <c:v>94</c:v>
                </c:pt>
                <c:pt idx="2">
                  <c:v>73.2</c:v>
                </c:pt>
                <c:pt idx="3">
                  <c:v>68.2</c:v>
                </c:pt>
                <c:pt idx="4">
                  <c:v>70.7</c:v>
                </c:pt>
                <c:pt idx="5">
                  <c:v>53.5</c:v>
                </c:pt>
                <c:pt idx="6">
                  <c:v>54.1</c:v>
                </c:pt>
                <c:pt idx="7">
                  <c:v>56.7</c:v>
                </c:pt>
                <c:pt idx="8">
                  <c:v>62.7</c:v>
                </c:pt>
                <c:pt idx="9">
                  <c:v>60.6</c:v>
                </c:pt>
                <c:pt idx="10">
                  <c:v>58.6</c:v>
                </c:pt>
                <c:pt idx="11">
                  <c:v>51.7</c:v>
                </c:pt>
                <c:pt idx="12">
                  <c:v>50.7</c:v>
                </c:pt>
                <c:pt idx="13">
                  <c:v>49.9</c:v>
                </c:pt>
                <c:pt idx="14">
                  <c:v>55</c:v>
                </c:pt>
                <c:pt idx="15">
                  <c:v>40.700000000000003</c:v>
                </c:pt>
                <c:pt idx="16">
                  <c:v>43.9</c:v>
                </c:pt>
                <c:pt idx="17">
                  <c:v>115.6</c:v>
                </c:pt>
                <c:pt idx="18">
                  <c:v>114.2</c:v>
                </c:pt>
                <c:pt idx="19">
                  <c:v>115.1</c:v>
                </c:pt>
                <c:pt idx="20">
                  <c:v>86.1</c:v>
                </c:pt>
                <c:pt idx="21">
                  <c:v>83.5</c:v>
                </c:pt>
                <c:pt idx="22">
                  <c:v>84.6</c:v>
                </c:pt>
                <c:pt idx="23">
                  <c:v>84.7</c:v>
                </c:pt>
                <c:pt idx="24">
                  <c:v>66</c:v>
                </c:pt>
                <c:pt idx="25">
                  <c:v>64.5</c:v>
                </c:pt>
                <c:pt idx="26">
                  <c:v>62.5</c:v>
                </c:pt>
                <c:pt idx="27">
                  <c:v>58.1</c:v>
                </c:pt>
                <c:pt idx="28">
                  <c:v>80</c:v>
                </c:pt>
                <c:pt idx="29">
                  <c:v>83.6</c:v>
                </c:pt>
                <c:pt idx="30">
                  <c:v>81.7</c:v>
                </c:pt>
                <c:pt idx="31">
                  <c:v>65.900000000000006</c:v>
                </c:pt>
                <c:pt idx="32">
                  <c:v>64.900000000000006</c:v>
                </c:pt>
                <c:pt idx="33">
                  <c:v>65</c:v>
                </c:pt>
                <c:pt idx="34">
                  <c:v>64.2</c:v>
                </c:pt>
                <c:pt idx="35">
                  <c:v>50.7</c:v>
                </c:pt>
                <c:pt idx="3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A3-4B3D-B602-5675E50AA84C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Sheet1!$A$2:$A$38</c:f>
              <c:numCache>
                <c:formatCode>General</c:formatCode>
                <c:ptCount val="3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xVal>
          <c:yVal>
            <c:numRef>
              <c:f>'a3'!$B$28:$B$67</c:f>
              <c:numCache>
                <c:formatCode>General</c:formatCode>
                <c:ptCount val="40"/>
                <c:pt idx="0">
                  <c:v>90.036115579312792</c:v>
                </c:pt>
                <c:pt idx="1">
                  <c:v>90.036115579312792</c:v>
                </c:pt>
                <c:pt idx="2">
                  <c:v>73.297967088346297</c:v>
                </c:pt>
                <c:pt idx="3">
                  <c:v>73.297967088346297</c:v>
                </c:pt>
                <c:pt idx="4">
                  <c:v>73.297967088346297</c:v>
                </c:pt>
                <c:pt idx="5">
                  <c:v>57.478814690329287</c:v>
                </c:pt>
                <c:pt idx="6">
                  <c:v>57.478814690329287</c:v>
                </c:pt>
                <c:pt idx="7">
                  <c:v>57.478814690329287</c:v>
                </c:pt>
                <c:pt idx="8">
                  <c:v>58.175346423284182</c:v>
                </c:pt>
                <c:pt idx="9">
                  <c:v>58.175346423284182</c:v>
                </c:pt>
                <c:pt idx="10">
                  <c:v>58.175346423284182</c:v>
                </c:pt>
                <c:pt idx="11">
                  <c:v>58.175346423284182</c:v>
                </c:pt>
                <c:pt idx="12">
                  <c:v>58.175346423284182</c:v>
                </c:pt>
                <c:pt idx="13">
                  <c:v>58.175346423284182</c:v>
                </c:pt>
                <c:pt idx="14">
                  <c:v>53.019509884709557</c:v>
                </c:pt>
                <c:pt idx="15">
                  <c:v>53.019509884709557</c:v>
                </c:pt>
                <c:pt idx="16">
                  <c:v>53.019509884709557</c:v>
                </c:pt>
                <c:pt idx="17">
                  <c:v>53.019509884709557</c:v>
                </c:pt>
                <c:pt idx="18">
                  <c:v>41.633652713402284</c:v>
                </c:pt>
                <c:pt idx="19">
                  <c:v>41.633652713402284</c:v>
                </c:pt>
                <c:pt idx="20">
                  <c:v>113.35437578643391</c:v>
                </c:pt>
                <c:pt idx="21">
                  <c:v>113.35437578643391</c:v>
                </c:pt>
                <c:pt idx="22">
                  <c:v>113.35437578643391</c:v>
                </c:pt>
                <c:pt idx="23">
                  <c:v>84.141307265370642</c:v>
                </c:pt>
                <c:pt idx="24">
                  <c:v>84.141307265370642</c:v>
                </c:pt>
                <c:pt idx="25">
                  <c:v>84.141307265370642</c:v>
                </c:pt>
                <c:pt idx="26">
                  <c:v>84.141307265370642</c:v>
                </c:pt>
                <c:pt idx="27">
                  <c:v>62.11726677114099</c:v>
                </c:pt>
                <c:pt idx="28">
                  <c:v>62.11726677114099</c:v>
                </c:pt>
                <c:pt idx="29">
                  <c:v>62.11726677114099</c:v>
                </c:pt>
                <c:pt idx="30">
                  <c:v>62.11726677114099</c:v>
                </c:pt>
                <c:pt idx="31">
                  <c:v>85.81886889156587</c:v>
                </c:pt>
                <c:pt idx="32">
                  <c:v>85.81886889156587</c:v>
                </c:pt>
                <c:pt idx="33">
                  <c:v>85.81886889156587</c:v>
                </c:pt>
                <c:pt idx="34">
                  <c:v>65.828339915529739</c:v>
                </c:pt>
                <c:pt idx="35">
                  <c:v>65.828339915529739</c:v>
                </c:pt>
                <c:pt idx="36">
                  <c:v>65.828339915529739</c:v>
                </c:pt>
                <c:pt idx="37">
                  <c:v>65.828339915529739</c:v>
                </c:pt>
                <c:pt idx="38">
                  <c:v>47.216305078917848</c:v>
                </c:pt>
                <c:pt idx="39">
                  <c:v>47.216305078917848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A3-4B3D-B602-5675E50AA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284447"/>
        <c:axId val="1544284927"/>
      </c:scatterChart>
      <c:valAx>
        <c:axId val="1544284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4284927"/>
        <c:crosses val="autoZero"/>
        <c:crossBetween val="midCat"/>
      </c:valAx>
      <c:valAx>
        <c:axId val="15442849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4428444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Sheet1!$B$2:$B$38</c:f>
              <c:numCache>
                <c:formatCode>General</c:formatCode>
                <c:ptCount val="3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xVal>
          <c:yVal>
            <c:numRef>
              <c:f>Sheet1!$P$2:$P$38</c:f>
              <c:numCache>
                <c:formatCode>0.00</c:formatCode>
                <c:ptCount val="37"/>
                <c:pt idx="0">
                  <c:v>92.2</c:v>
                </c:pt>
                <c:pt idx="1">
                  <c:v>94</c:v>
                </c:pt>
                <c:pt idx="2">
                  <c:v>73.2</c:v>
                </c:pt>
                <c:pt idx="3">
                  <c:v>68.2</c:v>
                </c:pt>
                <c:pt idx="4">
                  <c:v>70.7</c:v>
                </c:pt>
                <c:pt idx="5">
                  <c:v>53.5</c:v>
                </c:pt>
                <c:pt idx="6">
                  <c:v>54.1</c:v>
                </c:pt>
                <c:pt idx="7">
                  <c:v>56.7</c:v>
                </c:pt>
                <c:pt idx="8">
                  <c:v>62.7</c:v>
                </c:pt>
                <c:pt idx="9">
                  <c:v>60.6</c:v>
                </c:pt>
                <c:pt idx="10">
                  <c:v>58.6</c:v>
                </c:pt>
                <c:pt idx="11">
                  <c:v>51.7</c:v>
                </c:pt>
                <c:pt idx="12">
                  <c:v>50.7</c:v>
                </c:pt>
                <c:pt idx="13">
                  <c:v>49.9</c:v>
                </c:pt>
                <c:pt idx="14">
                  <c:v>55</c:v>
                </c:pt>
                <c:pt idx="15">
                  <c:v>40.700000000000003</c:v>
                </c:pt>
                <c:pt idx="16">
                  <c:v>43.9</c:v>
                </c:pt>
                <c:pt idx="17">
                  <c:v>115.6</c:v>
                </c:pt>
                <c:pt idx="18">
                  <c:v>114.2</c:v>
                </c:pt>
                <c:pt idx="19">
                  <c:v>115.1</c:v>
                </c:pt>
                <c:pt idx="20">
                  <c:v>86.1</c:v>
                </c:pt>
                <c:pt idx="21">
                  <c:v>83.5</c:v>
                </c:pt>
                <c:pt idx="22">
                  <c:v>84.6</c:v>
                </c:pt>
                <c:pt idx="23">
                  <c:v>84.7</c:v>
                </c:pt>
                <c:pt idx="24">
                  <c:v>66</c:v>
                </c:pt>
                <c:pt idx="25">
                  <c:v>64.5</c:v>
                </c:pt>
                <c:pt idx="26">
                  <c:v>62.5</c:v>
                </c:pt>
                <c:pt idx="27">
                  <c:v>58.1</c:v>
                </c:pt>
                <c:pt idx="28">
                  <c:v>80</c:v>
                </c:pt>
                <c:pt idx="29">
                  <c:v>83.6</c:v>
                </c:pt>
                <c:pt idx="30">
                  <c:v>81.7</c:v>
                </c:pt>
                <c:pt idx="31">
                  <c:v>65.900000000000006</c:v>
                </c:pt>
                <c:pt idx="32">
                  <c:v>64.900000000000006</c:v>
                </c:pt>
                <c:pt idx="33">
                  <c:v>65</c:v>
                </c:pt>
                <c:pt idx="34">
                  <c:v>64.2</c:v>
                </c:pt>
                <c:pt idx="35">
                  <c:v>50.7</c:v>
                </c:pt>
                <c:pt idx="3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D6-4D30-83AC-B02BF9CBB213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Sheet1!$B$2:$B$38</c:f>
              <c:numCache>
                <c:formatCode>General</c:formatCode>
                <c:ptCount val="3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xVal>
          <c:yVal>
            <c:numRef>
              <c:f>'a3'!$B$28:$B$67</c:f>
              <c:numCache>
                <c:formatCode>General</c:formatCode>
                <c:ptCount val="40"/>
                <c:pt idx="0">
                  <c:v>90.036115579312792</c:v>
                </c:pt>
                <c:pt idx="1">
                  <c:v>90.036115579312792</c:v>
                </c:pt>
                <c:pt idx="2">
                  <c:v>73.297967088346297</c:v>
                </c:pt>
                <c:pt idx="3">
                  <c:v>73.297967088346297</c:v>
                </c:pt>
                <c:pt idx="4">
                  <c:v>73.297967088346297</c:v>
                </c:pt>
                <c:pt idx="5">
                  <c:v>57.478814690329287</c:v>
                </c:pt>
                <c:pt idx="6">
                  <c:v>57.478814690329287</c:v>
                </c:pt>
                <c:pt idx="7">
                  <c:v>57.478814690329287</c:v>
                </c:pt>
                <c:pt idx="8">
                  <c:v>58.175346423284182</c:v>
                </c:pt>
                <c:pt idx="9">
                  <c:v>58.175346423284182</c:v>
                </c:pt>
                <c:pt idx="10">
                  <c:v>58.175346423284182</c:v>
                </c:pt>
                <c:pt idx="11">
                  <c:v>58.175346423284182</c:v>
                </c:pt>
                <c:pt idx="12">
                  <c:v>58.175346423284182</c:v>
                </c:pt>
                <c:pt idx="13">
                  <c:v>58.175346423284182</c:v>
                </c:pt>
                <c:pt idx="14">
                  <c:v>53.019509884709557</c:v>
                </c:pt>
                <c:pt idx="15">
                  <c:v>53.019509884709557</c:v>
                </c:pt>
                <c:pt idx="16">
                  <c:v>53.019509884709557</c:v>
                </c:pt>
                <c:pt idx="17">
                  <c:v>53.019509884709557</c:v>
                </c:pt>
                <c:pt idx="18">
                  <c:v>41.633652713402284</c:v>
                </c:pt>
                <c:pt idx="19">
                  <c:v>41.633652713402284</c:v>
                </c:pt>
                <c:pt idx="20">
                  <c:v>113.35437578643391</c:v>
                </c:pt>
                <c:pt idx="21">
                  <c:v>113.35437578643391</c:v>
                </c:pt>
                <c:pt idx="22">
                  <c:v>113.35437578643391</c:v>
                </c:pt>
                <c:pt idx="23">
                  <c:v>84.141307265370642</c:v>
                </c:pt>
                <c:pt idx="24">
                  <c:v>84.141307265370642</c:v>
                </c:pt>
                <c:pt idx="25">
                  <c:v>84.141307265370642</c:v>
                </c:pt>
                <c:pt idx="26">
                  <c:v>84.141307265370642</c:v>
                </c:pt>
                <c:pt idx="27">
                  <c:v>62.11726677114099</c:v>
                </c:pt>
                <c:pt idx="28">
                  <c:v>62.11726677114099</c:v>
                </c:pt>
                <c:pt idx="29">
                  <c:v>62.11726677114099</c:v>
                </c:pt>
                <c:pt idx="30">
                  <c:v>62.11726677114099</c:v>
                </c:pt>
                <c:pt idx="31">
                  <c:v>85.81886889156587</c:v>
                </c:pt>
                <c:pt idx="32">
                  <c:v>85.81886889156587</c:v>
                </c:pt>
                <c:pt idx="33">
                  <c:v>85.81886889156587</c:v>
                </c:pt>
                <c:pt idx="34">
                  <c:v>65.828339915529739</c:v>
                </c:pt>
                <c:pt idx="35">
                  <c:v>65.828339915529739</c:v>
                </c:pt>
                <c:pt idx="36">
                  <c:v>65.828339915529739</c:v>
                </c:pt>
                <c:pt idx="37">
                  <c:v>65.828339915529739</c:v>
                </c:pt>
                <c:pt idx="38">
                  <c:v>47.216305078917848</c:v>
                </c:pt>
                <c:pt idx="39">
                  <c:v>47.216305078917848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D6-4D30-83AC-B02BF9CBB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56719"/>
        <c:axId val="88157199"/>
      </c:scatterChart>
      <c:valAx>
        <c:axId val="88156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57199"/>
        <c:crosses val="autoZero"/>
        <c:crossBetween val="midCat"/>
      </c:valAx>
      <c:valAx>
        <c:axId val="881571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8815671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Sheet1!$C$2:$C$38</c:f>
              <c:numCache>
                <c:formatCode>0.00</c:formatCode>
                <c:ptCount val="37"/>
                <c:pt idx="0">
                  <c:v>0.31058285412302489</c:v>
                </c:pt>
                <c:pt idx="1">
                  <c:v>0.31058285412302489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0.84852813742385702</c:v>
                </c:pt>
                <c:pt idx="6">
                  <c:v>0.84852813742385702</c:v>
                </c:pt>
                <c:pt idx="7">
                  <c:v>0.84852813742385702</c:v>
                </c:pt>
                <c:pt idx="8">
                  <c:v>0.48445078585219159</c:v>
                </c:pt>
                <c:pt idx="9">
                  <c:v>0.48445078585219159</c:v>
                </c:pt>
                <c:pt idx="10">
                  <c:v>0.48445078585219159</c:v>
                </c:pt>
                <c:pt idx="11">
                  <c:v>0.79372539331937708</c:v>
                </c:pt>
                <c:pt idx="12">
                  <c:v>0.79372539331937708</c:v>
                </c:pt>
                <c:pt idx="13">
                  <c:v>0.79372539331937708</c:v>
                </c:pt>
                <c:pt idx="14">
                  <c:v>0.79372539331937708</c:v>
                </c:pt>
                <c:pt idx="15">
                  <c:v>1.0816653826391966</c:v>
                </c:pt>
                <c:pt idx="16">
                  <c:v>1.0816653826391966</c:v>
                </c:pt>
                <c:pt idx="17">
                  <c:v>0.48445078585219159</c:v>
                </c:pt>
                <c:pt idx="18">
                  <c:v>0.48445078585219159</c:v>
                </c:pt>
                <c:pt idx="19">
                  <c:v>0.48445078585219159</c:v>
                </c:pt>
                <c:pt idx="20">
                  <c:v>0.79372539331937708</c:v>
                </c:pt>
                <c:pt idx="21">
                  <c:v>0.79372539331937708</c:v>
                </c:pt>
                <c:pt idx="22">
                  <c:v>0.79372539331937708</c:v>
                </c:pt>
                <c:pt idx="23">
                  <c:v>0.79372539331937708</c:v>
                </c:pt>
                <c:pt idx="24">
                  <c:v>1.0816653826391966</c:v>
                </c:pt>
                <c:pt idx="25">
                  <c:v>1.0816653826391966</c:v>
                </c:pt>
                <c:pt idx="26">
                  <c:v>1.0816653826391966</c:v>
                </c:pt>
                <c:pt idx="27">
                  <c:v>1.0816653826391966</c:v>
                </c:pt>
                <c:pt idx="28">
                  <c:v>0.46587428118453739</c:v>
                </c:pt>
                <c:pt idx="29">
                  <c:v>0.46587428118453739</c:v>
                </c:pt>
                <c:pt idx="30">
                  <c:v>0.46587428118453739</c:v>
                </c:pt>
                <c:pt idx="31">
                  <c:v>0.89999999999999991</c:v>
                </c:pt>
                <c:pt idx="32">
                  <c:v>0.89999999999999991</c:v>
                </c:pt>
                <c:pt idx="33">
                  <c:v>0.89999999999999991</c:v>
                </c:pt>
                <c:pt idx="34">
                  <c:v>0.89999999999999991</c:v>
                </c:pt>
                <c:pt idx="35">
                  <c:v>1.2727922061357855</c:v>
                </c:pt>
                <c:pt idx="36">
                  <c:v>1.2727922061357855</c:v>
                </c:pt>
              </c:numCache>
            </c:numRef>
          </c:xVal>
          <c:yVal>
            <c:numRef>
              <c:f>Sheet1!$P$2:$P$38</c:f>
              <c:numCache>
                <c:formatCode>0.00</c:formatCode>
                <c:ptCount val="37"/>
                <c:pt idx="0">
                  <c:v>92.2</c:v>
                </c:pt>
                <c:pt idx="1">
                  <c:v>94</c:v>
                </c:pt>
                <c:pt idx="2">
                  <c:v>73.2</c:v>
                </c:pt>
                <c:pt idx="3">
                  <c:v>68.2</c:v>
                </c:pt>
                <c:pt idx="4">
                  <c:v>70.7</c:v>
                </c:pt>
                <c:pt idx="5">
                  <c:v>53.5</c:v>
                </c:pt>
                <c:pt idx="6">
                  <c:v>54.1</c:v>
                </c:pt>
                <c:pt idx="7">
                  <c:v>56.7</c:v>
                </c:pt>
                <c:pt idx="8">
                  <c:v>62.7</c:v>
                </c:pt>
                <c:pt idx="9">
                  <c:v>60.6</c:v>
                </c:pt>
                <c:pt idx="10">
                  <c:v>58.6</c:v>
                </c:pt>
                <c:pt idx="11">
                  <c:v>51.7</c:v>
                </c:pt>
                <c:pt idx="12">
                  <c:v>50.7</c:v>
                </c:pt>
                <c:pt idx="13">
                  <c:v>49.9</c:v>
                </c:pt>
                <c:pt idx="14">
                  <c:v>55</c:v>
                </c:pt>
                <c:pt idx="15">
                  <c:v>40.700000000000003</c:v>
                </c:pt>
                <c:pt idx="16">
                  <c:v>43.9</c:v>
                </c:pt>
                <c:pt idx="17">
                  <c:v>115.6</c:v>
                </c:pt>
                <c:pt idx="18">
                  <c:v>114.2</c:v>
                </c:pt>
                <c:pt idx="19">
                  <c:v>115.1</c:v>
                </c:pt>
                <c:pt idx="20">
                  <c:v>86.1</c:v>
                </c:pt>
                <c:pt idx="21">
                  <c:v>83.5</c:v>
                </c:pt>
                <c:pt idx="22">
                  <c:v>84.6</c:v>
                </c:pt>
                <c:pt idx="23">
                  <c:v>84.7</c:v>
                </c:pt>
                <c:pt idx="24">
                  <c:v>66</c:v>
                </c:pt>
                <c:pt idx="25">
                  <c:v>64.5</c:v>
                </c:pt>
                <c:pt idx="26">
                  <c:v>62.5</c:v>
                </c:pt>
                <c:pt idx="27">
                  <c:v>58.1</c:v>
                </c:pt>
                <c:pt idx="28">
                  <c:v>80</c:v>
                </c:pt>
                <c:pt idx="29">
                  <c:v>83.6</c:v>
                </c:pt>
                <c:pt idx="30">
                  <c:v>81.7</c:v>
                </c:pt>
                <c:pt idx="31">
                  <c:v>65.900000000000006</c:v>
                </c:pt>
                <c:pt idx="32">
                  <c:v>64.900000000000006</c:v>
                </c:pt>
                <c:pt idx="33">
                  <c:v>65</c:v>
                </c:pt>
                <c:pt idx="34">
                  <c:v>64.2</c:v>
                </c:pt>
                <c:pt idx="35">
                  <c:v>50.7</c:v>
                </c:pt>
                <c:pt idx="3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EC-4C0F-9B7D-6BC7013E0817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Sheet1!$C$2:$C$38</c:f>
              <c:numCache>
                <c:formatCode>0.00</c:formatCode>
                <c:ptCount val="37"/>
                <c:pt idx="0">
                  <c:v>0.31058285412302489</c:v>
                </c:pt>
                <c:pt idx="1">
                  <c:v>0.31058285412302489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0.84852813742385702</c:v>
                </c:pt>
                <c:pt idx="6">
                  <c:v>0.84852813742385702</c:v>
                </c:pt>
                <c:pt idx="7">
                  <c:v>0.84852813742385702</c:v>
                </c:pt>
                <c:pt idx="8">
                  <c:v>0.48445078585219159</c:v>
                </c:pt>
                <c:pt idx="9">
                  <c:v>0.48445078585219159</c:v>
                </c:pt>
                <c:pt idx="10">
                  <c:v>0.48445078585219159</c:v>
                </c:pt>
                <c:pt idx="11">
                  <c:v>0.79372539331937708</c:v>
                </c:pt>
                <c:pt idx="12">
                  <c:v>0.79372539331937708</c:v>
                </c:pt>
                <c:pt idx="13">
                  <c:v>0.79372539331937708</c:v>
                </c:pt>
                <c:pt idx="14">
                  <c:v>0.79372539331937708</c:v>
                </c:pt>
                <c:pt idx="15">
                  <c:v>1.0816653826391966</c:v>
                </c:pt>
                <c:pt idx="16">
                  <c:v>1.0816653826391966</c:v>
                </c:pt>
                <c:pt idx="17">
                  <c:v>0.48445078585219159</c:v>
                </c:pt>
                <c:pt idx="18">
                  <c:v>0.48445078585219159</c:v>
                </c:pt>
                <c:pt idx="19">
                  <c:v>0.48445078585219159</c:v>
                </c:pt>
                <c:pt idx="20">
                  <c:v>0.79372539331937708</c:v>
                </c:pt>
                <c:pt idx="21">
                  <c:v>0.79372539331937708</c:v>
                </c:pt>
                <c:pt idx="22">
                  <c:v>0.79372539331937708</c:v>
                </c:pt>
                <c:pt idx="23">
                  <c:v>0.79372539331937708</c:v>
                </c:pt>
                <c:pt idx="24">
                  <c:v>1.0816653826391966</c:v>
                </c:pt>
                <c:pt idx="25">
                  <c:v>1.0816653826391966</c:v>
                </c:pt>
                <c:pt idx="26">
                  <c:v>1.0816653826391966</c:v>
                </c:pt>
                <c:pt idx="27">
                  <c:v>1.0816653826391966</c:v>
                </c:pt>
                <c:pt idx="28">
                  <c:v>0.46587428118453739</c:v>
                </c:pt>
                <c:pt idx="29">
                  <c:v>0.46587428118453739</c:v>
                </c:pt>
                <c:pt idx="30">
                  <c:v>0.46587428118453739</c:v>
                </c:pt>
                <c:pt idx="31">
                  <c:v>0.89999999999999991</c:v>
                </c:pt>
                <c:pt idx="32">
                  <c:v>0.89999999999999991</c:v>
                </c:pt>
                <c:pt idx="33">
                  <c:v>0.89999999999999991</c:v>
                </c:pt>
                <c:pt idx="34">
                  <c:v>0.89999999999999991</c:v>
                </c:pt>
                <c:pt idx="35">
                  <c:v>1.2727922061357855</c:v>
                </c:pt>
                <c:pt idx="36">
                  <c:v>1.2727922061357855</c:v>
                </c:pt>
              </c:numCache>
            </c:numRef>
          </c:xVal>
          <c:yVal>
            <c:numRef>
              <c:f>'a3'!$B$28:$B$67</c:f>
              <c:numCache>
                <c:formatCode>General</c:formatCode>
                <c:ptCount val="40"/>
                <c:pt idx="0">
                  <c:v>90.036115579312792</c:v>
                </c:pt>
                <c:pt idx="1">
                  <c:v>90.036115579312792</c:v>
                </c:pt>
                <c:pt idx="2">
                  <c:v>73.297967088346297</c:v>
                </c:pt>
                <c:pt idx="3">
                  <c:v>73.297967088346297</c:v>
                </c:pt>
                <c:pt idx="4">
                  <c:v>73.297967088346297</c:v>
                </c:pt>
                <c:pt idx="5">
                  <c:v>57.478814690329287</c:v>
                </c:pt>
                <c:pt idx="6">
                  <c:v>57.478814690329287</c:v>
                </c:pt>
                <c:pt idx="7">
                  <c:v>57.478814690329287</c:v>
                </c:pt>
                <c:pt idx="8">
                  <c:v>58.175346423284182</c:v>
                </c:pt>
                <c:pt idx="9">
                  <c:v>58.175346423284182</c:v>
                </c:pt>
                <c:pt idx="10">
                  <c:v>58.175346423284182</c:v>
                </c:pt>
                <c:pt idx="11">
                  <c:v>58.175346423284182</c:v>
                </c:pt>
                <c:pt idx="12">
                  <c:v>58.175346423284182</c:v>
                </c:pt>
                <c:pt idx="13">
                  <c:v>58.175346423284182</c:v>
                </c:pt>
                <c:pt idx="14">
                  <c:v>53.019509884709557</c:v>
                </c:pt>
                <c:pt idx="15">
                  <c:v>53.019509884709557</c:v>
                </c:pt>
                <c:pt idx="16">
                  <c:v>53.019509884709557</c:v>
                </c:pt>
                <c:pt idx="17">
                  <c:v>53.019509884709557</c:v>
                </c:pt>
                <c:pt idx="18">
                  <c:v>41.633652713402284</c:v>
                </c:pt>
                <c:pt idx="19">
                  <c:v>41.633652713402284</c:v>
                </c:pt>
                <c:pt idx="20">
                  <c:v>113.35437578643391</c:v>
                </c:pt>
                <c:pt idx="21">
                  <c:v>113.35437578643391</c:v>
                </c:pt>
                <c:pt idx="22">
                  <c:v>113.35437578643391</c:v>
                </c:pt>
                <c:pt idx="23">
                  <c:v>84.141307265370642</c:v>
                </c:pt>
                <c:pt idx="24">
                  <c:v>84.141307265370642</c:v>
                </c:pt>
                <c:pt idx="25">
                  <c:v>84.141307265370642</c:v>
                </c:pt>
                <c:pt idx="26">
                  <c:v>84.141307265370642</c:v>
                </c:pt>
                <c:pt idx="27">
                  <c:v>62.11726677114099</c:v>
                </c:pt>
                <c:pt idx="28">
                  <c:v>62.11726677114099</c:v>
                </c:pt>
                <c:pt idx="29">
                  <c:v>62.11726677114099</c:v>
                </c:pt>
                <c:pt idx="30">
                  <c:v>62.11726677114099</c:v>
                </c:pt>
                <c:pt idx="31">
                  <c:v>85.81886889156587</c:v>
                </c:pt>
                <c:pt idx="32">
                  <c:v>85.81886889156587</c:v>
                </c:pt>
                <c:pt idx="33">
                  <c:v>85.81886889156587</c:v>
                </c:pt>
                <c:pt idx="34">
                  <c:v>65.828339915529739</c:v>
                </c:pt>
                <c:pt idx="35">
                  <c:v>65.828339915529739</c:v>
                </c:pt>
                <c:pt idx="36">
                  <c:v>65.828339915529739</c:v>
                </c:pt>
                <c:pt idx="37">
                  <c:v>65.828339915529739</c:v>
                </c:pt>
                <c:pt idx="38">
                  <c:v>47.216305078917848</c:v>
                </c:pt>
                <c:pt idx="39">
                  <c:v>47.216305078917848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EC-4C0F-9B7D-6BC7013E0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285407"/>
        <c:axId val="88156719"/>
      </c:scatterChart>
      <c:valAx>
        <c:axId val="1544285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88156719"/>
        <c:crosses val="autoZero"/>
        <c:crossBetween val="midCat"/>
      </c:valAx>
      <c:valAx>
        <c:axId val="88156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442854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Sheet1!$D$2:$D$38</c:f>
              <c:numCache>
                <c:formatCode>0</c:formatCode>
                <c:ptCount val="37"/>
                <c:pt idx="0">
                  <c:v>75</c:v>
                </c:pt>
                <c:pt idx="1">
                  <c:v>75</c:v>
                </c:pt>
                <c:pt idx="2">
                  <c:v>60.000000000000007</c:v>
                </c:pt>
                <c:pt idx="3">
                  <c:v>60.000000000000007</c:v>
                </c:pt>
                <c:pt idx="4">
                  <c:v>60.000000000000007</c:v>
                </c:pt>
                <c:pt idx="5">
                  <c:v>45.000000000000014</c:v>
                </c:pt>
                <c:pt idx="6">
                  <c:v>45.000000000000014</c:v>
                </c:pt>
                <c:pt idx="7">
                  <c:v>45.000000000000014</c:v>
                </c:pt>
                <c:pt idx="8">
                  <c:v>38.261966199709804</c:v>
                </c:pt>
                <c:pt idx="9">
                  <c:v>38.261966199709804</c:v>
                </c:pt>
                <c:pt idx="10">
                  <c:v>38.261966199709804</c:v>
                </c:pt>
                <c:pt idx="11">
                  <c:v>40.893394649130897</c:v>
                </c:pt>
                <c:pt idx="12">
                  <c:v>40.893394649130897</c:v>
                </c:pt>
                <c:pt idx="13">
                  <c:v>40.893394649130897</c:v>
                </c:pt>
                <c:pt idx="14">
                  <c:v>40.893394649130897</c:v>
                </c:pt>
                <c:pt idx="15">
                  <c:v>33.690067525979785</c:v>
                </c:pt>
                <c:pt idx="16">
                  <c:v>33.690067525979785</c:v>
                </c:pt>
                <c:pt idx="17">
                  <c:v>111.73803380029017</c:v>
                </c:pt>
                <c:pt idx="18">
                  <c:v>111.73803380029017</c:v>
                </c:pt>
                <c:pt idx="19">
                  <c:v>111.73803380029017</c:v>
                </c:pt>
                <c:pt idx="20">
                  <c:v>79.106605350869103</c:v>
                </c:pt>
                <c:pt idx="21">
                  <c:v>79.106605350869103</c:v>
                </c:pt>
                <c:pt idx="22">
                  <c:v>79.106605350869103</c:v>
                </c:pt>
                <c:pt idx="23">
                  <c:v>79.106605350869103</c:v>
                </c:pt>
                <c:pt idx="24">
                  <c:v>56.309932474020208</c:v>
                </c:pt>
                <c:pt idx="25">
                  <c:v>56.309932474020208</c:v>
                </c:pt>
                <c:pt idx="26">
                  <c:v>56.309932474020208</c:v>
                </c:pt>
                <c:pt idx="27">
                  <c:v>56.309932474020208</c:v>
                </c:pt>
                <c:pt idx="28">
                  <c:v>75.000000000000014</c:v>
                </c:pt>
                <c:pt idx="29">
                  <c:v>75.000000000000014</c:v>
                </c:pt>
                <c:pt idx="30">
                  <c:v>75.000000000000014</c:v>
                </c:pt>
                <c:pt idx="31">
                  <c:v>59.999999999999993</c:v>
                </c:pt>
                <c:pt idx="32">
                  <c:v>59.999999999999993</c:v>
                </c:pt>
                <c:pt idx="33">
                  <c:v>59.999999999999993</c:v>
                </c:pt>
                <c:pt idx="34">
                  <c:v>59.999999999999993</c:v>
                </c:pt>
                <c:pt idx="35">
                  <c:v>44.999999999999979</c:v>
                </c:pt>
                <c:pt idx="36">
                  <c:v>44.999999999999979</c:v>
                </c:pt>
              </c:numCache>
            </c:numRef>
          </c:xVal>
          <c:yVal>
            <c:numRef>
              <c:f>Sheet1!$P$2:$P$38</c:f>
              <c:numCache>
                <c:formatCode>0.00</c:formatCode>
                <c:ptCount val="37"/>
                <c:pt idx="0">
                  <c:v>92.2</c:v>
                </c:pt>
                <c:pt idx="1">
                  <c:v>94</c:v>
                </c:pt>
                <c:pt idx="2">
                  <c:v>73.2</c:v>
                </c:pt>
                <c:pt idx="3">
                  <c:v>68.2</c:v>
                </c:pt>
                <c:pt idx="4">
                  <c:v>70.7</c:v>
                </c:pt>
                <c:pt idx="5">
                  <c:v>53.5</c:v>
                </c:pt>
                <c:pt idx="6">
                  <c:v>54.1</c:v>
                </c:pt>
                <c:pt idx="7">
                  <c:v>56.7</c:v>
                </c:pt>
                <c:pt idx="8">
                  <c:v>62.7</c:v>
                </c:pt>
                <c:pt idx="9">
                  <c:v>60.6</c:v>
                </c:pt>
                <c:pt idx="10">
                  <c:v>58.6</c:v>
                </c:pt>
                <c:pt idx="11">
                  <c:v>51.7</c:v>
                </c:pt>
                <c:pt idx="12">
                  <c:v>50.7</c:v>
                </c:pt>
                <c:pt idx="13">
                  <c:v>49.9</c:v>
                </c:pt>
                <c:pt idx="14">
                  <c:v>55</c:v>
                </c:pt>
                <c:pt idx="15">
                  <c:v>40.700000000000003</c:v>
                </c:pt>
                <c:pt idx="16">
                  <c:v>43.9</c:v>
                </c:pt>
                <c:pt idx="17">
                  <c:v>115.6</c:v>
                </c:pt>
                <c:pt idx="18">
                  <c:v>114.2</c:v>
                </c:pt>
                <c:pt idx="19">
                  <c:v>115.1</c:v>
                </c:pt>
                <c:pt idx="20">
                  <c:v>86.1</c:v>
                </c:pt>
                <c:pt idx="21">
                  <c:v>83.5</c:v>
                </c:pt>
                <c:pt idx="22">
                  <c:v>84.6</c:v>
                </c:pt>
                <c:pt idx="23">
                  <c:v>84.7</c:v>
                </c:pt>
                <c:pt idx="24">
                  <c:v>66</c:v>
                </c:pt>
                <c:pt idx="25">
                  <c:v>64.5</c:v>
                </c:pt>
                <c:pt idx="26">
                  <c:v>62.5</c:v>
                </c:pt>
                <c:pt idx="27">
                  <c:v>58.1</c:v>
                </c:pt>
                <c:pt idx="28">
                  <c:v>80</c:v>
                </c:pt>
                <c:pt idx="29">
                  <c:v>83.6</c:v>
                </c:pt>
                <c:pt idx="30">
                  <c:v>81.7</c:v>
                </c:pt>
                <c:pt idx="31">
                  <c:v>65.900000000000006</c:v>
                </c:pt>
                <c:pt idx="32">
                  <c:v>64.900000000000006</c:v>
                </c:pt>
                <c:pt idx="33">
                  <c:v>65</c:v>
                </c:pt>
                <c:pt idx="34">
                  <c:v>64.2</c:v>
                </c:pt>
                <c:pt idx="35">
                  <c:v>50.7</c:v>
                </c:pt>
                <c:pt idx="3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15-4799-8A2F-C04B50086AF1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Sheet1!$D$2:$D$38</c:f>
              <c:numCache>
                <c:formatCode>0</c:formatCode>
                <c:ptCount val="37"/>
                <c:pt idx="0">
                  <c:v>75</c:v>
                </c:pt>
                <c:pt idx="1">
                  <c:v>75</c:v>
                </c:pt>
                <c:pt idx="2">
                  <c:v>60.000000000000007</c:v>
                </c:pt>
                <c:pt idx="3">
                  <c:v>60.000000000000007</c:v>
                </c:pt>
                <c:pt idx="4">
                  <c:v>60.000000000000007</c:v>
                </c:pt>
                <c:pt idx="5">
                  <c:v>45.000000000000014</c:v>
                </c:pt>
                <c:pt idx="6">
                  <c:v>45.000000000000014</c:v>
                </c:pt>
                <c:pt idx="7">
                  <c:v>45.000000000000014</c:v>
                </c:pt>
                <c:pt idx="8">
                  <c:v>38.261966199709804</c:v>
                </c:pt>
                <c:pt idx="9">
                  <c:v>38.261966199709804</c:v>
                </c:pt>
                <c:pt idx="10">
                  <c:v>38.261966199709804</c:v>
                </c:pt>
                <c:pt idx="11">
                  <c:v>40.893394649130897</c:v>
                </c:pt>
                <c:pt idx="12">
                  <c:v>40.893394649130897</c:v>
                </c:pt>
                <c:pt idx="13">
                  <c:v>40.893394649130897</c:v>
                </c:pt>
                <c:pt idx="14">
                  <c:v>40.893394649130897</c:v>
                </c:pt>
                <c:pt idx="15">
                  <c:v>33.690067525979785</c:v>
                </c:pt>
                <c:pt idx="16">
                  <c:v>33.690067525979785</c:v>
                </c:pt>
                <c:pt idx="17">
                  <c:v>111.73803380029017</c:v>
                </c:pt>
                <c:pt idx="18">
                  <c:v>111.73803380029017</c:v>
                </c:pt>
                <c:pt idx="19">
                  <c:v>111.73803380029017</c:v>
                </c:pt>
                <c:pt idx="20">
                  <c:v>79.106605350869103</c:v>
                </c:pt>
                <c:pt idx="21">
                  <c:v>79.106605350869103</c:v>
                </c:pt>
                <c:pt idx="22">
                  <c:v>79.106605350869103</c:v>
                </c:pt>
                <c:pt idx="23">
                  <c:v>79.106605350869103</c:v>
                </c:pt>
                <c:pt idx="24">
                  <c:v>56.309932474020208</c:v>
                </c:pt>
                <c:pt idx="25">
                  <c:v>56.309932474020208</c:v>
                </c:pt>
                <c:pt idx="26">
                  <c:v>56.309932474020208</c:v>
                </c:pt>
                <c:pt idx="27">
                  <c:v>56.309932474020208</c:v>
                </c:pt>
                <c:pt idx="28">
                  <c:v>75.000000000000014</c:v>
                </c:pt>
                <c:pt idx="29">
                  <c:v>75.000000000000014</c:v>
                </c:pt>
                <c:pt idx="30">
                  <c:v>75.000000000000014</c:v>
                </c:pt>
                <c:pt idx="31">
                  <c:v>59.999999999999993</c:v>
                </c:pt>
                <c:pt idx="32">
                  <c:v>59.999999999999993</c:v>
                </c:pt>
                <c:pt idx="33">
                  <c:v>59.999999999999993</c:v>
                </c:pt>
                <c:pt idx="34">
                  <c:v>59.999999999999993</c:v>
                </c:pt>
                <c:pt idx="35">
                  <c:v>44.999999999999979</c:v>
                </c:pt>
                <c:pt idx="36">
                  <c:v>44.999999999999979</c:v>
                </c:pt>
              </c:numCache>
            </c:numRef>
          </c:xVal>
          <c:yVal>
            <c:numRef>
              <c:f>'a3'!$B$28:$B$67</c:f>
              <c:numCache>
                <c:formatCode>General</c:formatCode>
                <c:ptCount val="40"/>
                <c:pt idx="0">
                  <c:v>90.036115579312792</c:v>
                </c:pt>
                <c:pt idx="1">
                  <c:v>90.036115579312792</c:v>
                </c:pt>
                <c:pt idx="2">
                  <c:v>73.297967088346297</c:v>
                </c:pt>
                <c:pt idx="3">
                  <c:v>73.297967088346297</c:v>
                </c:pt>
                <c:pt idx="4">
                  <c:v>73.297967088346297</c:v>
                </c:pt>
                <c:pt idx="5">
                  <c:v>57.478814690329287</c:v>
                </c:pt>
                <c:pt idx="6">
                  <c:v>57.478814690329287</c:v>
                </c:pt>
                <c:pt idx="7">
                  <c:v>57.478814690329287</c:v>
                </c:pt>
                <c:pt idx="8">
                  <c:v>58.175346423284182</c:v>
                </c:pt>
                <c:pt idx="9">
                  <c:v>58.175346423284182</c:v>
                </c:pt>
                <c:pt idx="10">
                  <c:v>58.175346423284182</c:v>
                </c:pt>
                <c:pt idx="11">
                  <c:v>58.175346423284182</c:v>
                </c:pt>
                <c:pt idx="12">
                  <c:v>58.175346423284182</c:v>
                </c:pt>
                <c:pt idx="13">
                  <c:v>58.175346423284182</c:v>
                </c:pt>
                <c:pt idx="14">
                  <c:v>53.019509884709557</c:v>
                </c:pt>
                <c:pt idx="15">
                  <c:v>53.019509884709557</c:v>
                </c:pt>
                <c:pt idx="16">
                  <c:v>53.019509884709557</c:v>
                </c:pt>
                <c:pt idx="17">
                  <c:v>53.019509884709557</c:v>
                </c:pt>
                <c:pt idx="18">
                  <c:v>41.633652713402284</c:v>
                </c:pt>
                <c:pt idx="19">
                  <c:v>41.633652713402284</c:v>
                </c:pt>
                <c:pt idx="20">
                  <c:v>113.35437578643391</c:v>
                </c:pt>
                <c:pt idx="21">
                  <c:v>113.35437578643391</c:v>
                </c:pt>
                <c:pt idx="22">
                  <c:v>113.35437578643391</c:v>
                </c:pt>
                <c:pt idx="23">
                  <c:v>84.141307265370642</c:v>
                </c:pt>
                <c:pt idx="24">
                  <c:v>84.141307265370642</c:v>
                </c:pt>
                <c:pt idx="25">
                  <c:v>84.141307265370642</c:v>
                </c:pt>
                <c:pt idx="26">
                  <c:v>84.141307265370642</c:v>
                </c:pt>
                <c:pt idx="27">
                  <c:v>62.11726677114099</c:v>
                </c:pt>
                <c:pt idx="28">
                  <c:v>62.11726677114099</c:v>
                </c:pt>
                <c:pt idx="29">
                  <c:v>62.11726677114099</c:v>
                </c:pt>
                <c:pt idx="30">
                  <c:v>62.11726677114099</c:v>
                </c:pt>
                <c:pt idx="31">
                  <c:v>85.81886889156587</c:v>
                </c:pt>
                <c:pt idx="32">
                  <c:v>85.81886889156587</c:v>
                </c:pt>
                <c:pt idx="33">
                  <c:v>85.81886889156587</c:v>
                </c:pt>
                <c:pt idx="34">
                  <c:v>65.828339915529739</c:v>
                </c:pt>
                <c:pt idx="35">
                  <c:v>65.828339915529739</c:v>
                </c:pt>
                <c:pt idx="36">
                  <c:v>65.828339915529739</c:v>
                </c:pt>
                <c:pt idx="37">
                  <c:v>65.828339915529739</c:v>
                </c:pt>
                <c:pt idx="38">
                  <c:v>47.216305078917848</c:v>
                </c:pt>
                <c:pt idx="39">
                  <c:v>47.216305078917848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15-4799-8A2F-C04B50086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06719"/>
        <c:axId val="90104799"/>
      </c:scatterChart>
      <c:valAx>
        <c:axId val="90106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90104799"/>
        <c:crosses val="autoZero"/>
        <c:crossBetween val="midCat"/>
      </c:valAx>
      <c:valAx>
        <c:axId val="901047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10671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'a3'!$E$28:$E$67</c:f>
              <c:numCache>
                <c:formatCode>General</c:formatCode>
                <c:ptCount val="40"/>
                <c:pt idx="0">
                  <c:v>1.25</c:v>
                </c:pt>
                <c:pt idx="1">
                  <c:v>3.75</c:v>
                </c:pt>
                <c:pt idx="2">
                  <c:v>6.25</c:v>
                </c:pt>
                <c:pt idx="3">
                  <c:v>8.75</c:v>
                </c:pt>
                <c:pt idx="4">
                  <c:v>11.25</c:v>
                </c:pt>
                <c:pt idx="5">
                  <c:v>13.75</c:v>
                </c:pt>
                <c:pt idx="6">
                  <c:v>16.25</c:v>
                </c:pt>
                <c:pt idx="7">
                  <c:v>18.75</c:v>
                </c:pt>
                <c:pt idx="8">
                  <c:v>21.25</c:v>
                </c:pt>
                <c:pt idx="9">
                  <c:v>23.75</c:v>
                </c:pt>
                <c:pt idx="10">
                  <c:v>26.25</c:v>
                </c:pt>
                <c:pt idx="11">
                  <c:v>28.75</c:v>
                </c:pt>
                <c:pt idx="12">
                  <c:v>31.25</c:v>
                </c:pt>
                <c:pt idx="13">
                  <c:v>33.75</c:v>
                </c:pt>
                <c:pt idx="14">
                  <c:v>36.25</c:v>
                </c:pt>
                <c:pt idx="15">
                  <c:v>38.75</c:v>
                </c:pt>
                <c:pt idx="16">
                  <c:v>41.25</c:v>
                </c:pt>
                <c:pt idx="17">
                  <c:v>43.75</c:v>
                </c:pt>
                <c:pt idx="18">
                  <c:v>46.25</c:v>
                </c:pt>
                <c:pt idx="19">
                  <c:v>48.75</c:v>
                </c:pt>
                <c:pt idx="20">
                  <c:v>51.25</c:v>
                </c:pt>
                <c:pt idx="21">
                  <c:v>53.75</c:v>
                </c:pt>
                <c:pt idx="22">
                  <c:v>56.25</c:v>
                </c:pt>
                <c:pt idx="23">
                  <c:v>58.75</c:v>
                </c:pt>
                <c:pt idx="24">
                  <c:v>61.25</c:v>
                </c:pt>
                <c:pt idx="25">
                  <c:v>63.75</c:v>
                </c:pt>
                <c:pt idx="26">
                  <c:v>66.25</c:v>
                </c:pt>
                <c:pt idx="27">
                  <c:v>68.75</c:v>
                </c:pt>
                <c:pt idx="28">
                  <c:v>71.25</c:v>
                </c:pt>
                <c:pt idx="29">
                  <c:v>73.75</c:v>
                </c:pt>
                <c:pt idx="30">
                  <c:v>76.25</c:v>
                </c:pt>
                <c:pt idx="31">
                  <c:v>78.75</c:v>
                </c:pt>
                <c:pt idx="32">
                  <c:v>81.25</c:v>
                </c:pt>
                <c:pt idx="33">
                  <c:v>83.75</c:v>
                </c:pt>
                <c:pt idx="34">
                  <c:v>86.25</c:v>
                </c:pt>
                <c:pt idx="35">
                  <c:v>88.75</c:v>
                </c:pt>
                <c:pt idx="36">
                  <c:v>91.25</c:v>
                </c:pt>
                <c:pt idx="37">
                  <c:v>93.75</c:v>
                </c:pt>
                <c:pt idx="38">
                  <c:v>96.25</c:v>
                </c:pt>
                <c:pt idx="39">
                  <c:v>98.75</c:v>
                </c:pt>
              </c:numCache>
            </c:numRef>
          </c:xVal>
          <c:yVal>
            <c:numRef>
              <c:f>'a3'!$F$28:$F$67</c:f>
              <c:numCache>
                <c:formatCode>General</c:formatCode>
                <c:ptCount val="40"/>
                <c:pt idx="0">
                  <c:v>40.700000000000003</c:v>
                </c:pt>
                <c:pt idx="1">
                  <c:v>43.9</c:v>
                </c:pt>
                <c:pt idx="2">
                  <c:v>49.4</c:v>
                </c:pt>
                <c:pt idx="3">
                  <c:v>49.9</c:v>
                </c:pt>
                <c:pt idx="4">
                  <c:v>50.7</c:v>
                </c:pt>
                <c:pt idx="5">
                  <c:v>50.7</c:v>
                </c:pt>
                <c:pt idx="6">
                  <c:v>51.7</c:v>
                </c:pt>
                <c:pt idx="7">
                  <c:v>53.5</c:v>
                </c:pt>
                <c:pt idx="8">
                  <c:v>54.1</c:v>
                </c:pt>
                <c:pt idx="9">
                  <c:v>55</c:v>
                </c:pt>
                <c:pt idx="10">
                  <c:v>56.7</c:v>
                </c:pt>
                <c:pt idx="11">
                  <c:v>58.1</c:v>
                </c:pt>
                <c:pt idx="12">
                  <c:v>58.6</c:v>
                </c:pt>
                <c:pt idx="13">
                  <c:v>59.1</c:v>
                </c:pt>
                <c:pt idx="14">
                  <c:v>60.2</c:v>
                </c:pt>
                <c:pt idx="15">
                  <c:v>60.6</c:v>
                </c:pt>
                <c:pt idx="16">
                  <c:v>61.1</c:v>
                </c:pt>
                <c:pt idx="17">
                  <c:v>62.5</c:v>
                </c:pt>
                <c:pt idx="18">
                  <c:v>62.7</c:v>
                </c:pt>
                <c:pt idx="19">
                  <c:v>64.2</c:v>
                </c:pt>
                <c:pt idx="20">
                  <c:v>64.5</c:v>
                </c:pt>
                <c:pt idx="21">
                  <c:v>64.900000000000006</c:v>
                </c:pt>
                <c:pt idx="22">
                  <c:v>65</c:v>
                </c:pt>
                <c:pt idx="23">
                  <c:v>65.900000000000006</c:v>
                </c:pt>
                <c:pt idx="24">
                  <c:v>66</c:v>
                </c:pt>
                <c:pt idx="25">
                  <c:v>68.2</c:v>
                </c:pt>
                <c:pt idx="26">
                  <c:v>70.7</c:v>
                </c:pt>
                <c:pt idx="27">
                  <c:v>73.2</c:v>
                </c:pt>
                <c:pt idx="28">
                  <c:v>80</c:v>
                </c:pt>
                <c:pt idx="29">
                  <c:v>81.7</c:v>
                </c:pt>
                <c:pt idx="30">
                  <c:v>83.5</c:v>
                </c:pt>
                <c:pt idx="31">
                  <c:v>83.6</c:v>
                </c:pt>
                <c:pt idx="32">
                  <c:v>84.6</c:v>
                </c:pt>
                <c:pt idx="33">
                  <c:v>84.7</c:v>
                </c:pt>
                <c:pt idx="34">
                  <c:v>86.1</c:v>
                </c:pt>
                <c:pt idx="35">
                  <c:v>92.2</c:v>
                </c:pt>
                <c:pt idx="36">
                  <c:v>94</c:v>
                </c:pt>
                <c:pt idx="37">
                  <c:v>114.2</c:v>
                </c:pt>
                <c:pt idx="38">
                  <c:v>115.1</c:v>
                </c:pt>
                <c:pt idx="39">
                  <c:v>115.6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BC-406F-ABC3-DD12F1E3A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05279"/>
        <c:axId val="90105759"/>
      </c:scatterChart>
      <c:valAx>
        <c:axId val="90105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105759"/>
        <c:crosses val="autoZero"/>
        <c:crossBetween val="midCat"/>
      </c:valAx>
      <c:valAx>
        <c:axId val="901057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1052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Sheet1!$A$2:$A$38</c:f>
              <c:numCache>
                <c:formatCode>General</c:formatCode>
                <c:ptCount val="3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xVal>
          <c:yVal>
            <c:numRef>
              <c:f>Sheet1!$S$2:$S$38</c:f>
              <c:numCache>
                <c:formatCode>0.00_ </c:formatCode>
                <c:ptCount val="37"/>
                <c:pt idx="0">
                  <c:v>0.19337460652021549</c:v>
                </c:pt>
                <c:pt idx="1">
                  <c:v>0.19491772976184968</c:v>
                </c:pt>
                <c:pt idx="2">
                  <c:v>0.28977146430933753</c:v>
                </c:pt>
                <c:pt idx="3">
                  <c:v>0.21370902953673371</c:v>
                </c:pt>
                <c:pt idx="4">
                  <c:v>0.20143636857015554</c:v>
                </c:pt>
                <c:pt idx="5">
                  <c:v>0.30600967993685441</c:v>
                </c:pt>
                <c:pt idx="6">
                  <c:v>0.22719054258426613</c:v>
                </c:pt>
                <c:pt idx="7">
                  <c:v>0.26812192548804736</c:v>
                </c:pt>
                <c:pt idx="8">
                  <c:v>0.31309405432537474</c:v>
                </c:pt>
                <c:pt idx="9">
                  <c:v>0.314505092620603</c:v>
                </c:pt>
                <c:pt idx="10">
                  <c:v>0.27474076409141457</c:v>
                </c:pt>
                <c:pt idx="11">
                  <c:v>0.26711080912957191</c:v>
                </c:pt>
                <c:pt idx="12">
                  <c:v>0.22382279388081558</c:v>
                </c:pt>
                <c:pt idx="13">
                  <c:v>0.23055707874016895</c:v>
                </c:pt>
                <c:pt idx="14">
                  <c:v>0.22501717760090295</c:v>
                </c:pt>
                <c:pt idx="15">
                  <c:v>0.29453279493091816</c:v>
                </c:pt>
                <c:pt idx="16">
                  <c:v>0.26213411700169947</c:v>
                </c:pt>
                <c:pt idx="17">
                  <c:v>9.0051872897541171E-2</c:v>
                </c:pt>
                <c:pt idx="18">
                  <c:v>9.0078602339485808E-2</c:v>
                </c:pt>
                <c:pt idx="19">
                  <c:v>0.10086173798414921</c:v>
                </c:pt>
                <c:pt idx="20">
                  <c:v>0.11782391681792589</c:v>
                </c:pt>
                <c:pt idx="21">
                  <c:v>0.11692416541435621</c:v>
                </c:pt>
                <c:pt idx="22">
                  <c:v>0.1249591280756642</c:v>
                </c:pt>
                <c:pt idx="23">
                  <c:v>0.12364489478192853</c:v>
                </c:pt>
                <c:pt idx="24">
                  <c:v>0.16313552957338034</c:v>
                </c:pt>
                <c:pt idx="25">
                  <c:v>0.18274629630683206</c:v>
                </c:pt>
                <c:pt idx="26">
                  <c:v>0.18288294251160697</c:v>
                </c:pt>
                <c:pt idx="27">
                  <c:v>0.18848864380072042</c:v>
                </c:pt>
                <c:pt idx="28">
                  <c:v>0.11202502966077635</c:v>
                </c:pt>
                <c:pt idx="29">
                  <c:v>0.11700261167891221</c:v>
                </c:pt>
                <c:pt idx="30">
                  <c:v>0.13264311380827298</c:v>
                </c:pt>
                <c:pt idx="31">
                  <c:v>0.15678170211611872</c:v>
                </c:pt>
                <c:pt idx="32">
                  <c:v>0.12118893985259621</c:v>
                </c:pt>
                <c:pt idx="33">
                  <c:v>0.14094532827403139</c:v>
                </c:pt>
                <c:pt idx="34">
                  <c:v>0.12268267034416191</c:v>
                </c:pt>
                <c:pt idx="35">
                  <c:v>0.15867670966544042</c:v>
                </c:pt>
                <c:pt idx="3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F5-42BD-9BDC-6B79ED2021FB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Sheet1!$A$2:$A$38</c:f>
              <c:numCache>
                <c:formatCode>General</c:formatCode>
                <c:ptCount val="3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xVal>
          <c:yVal>
            <c:numRef>
              <c:f>delta_s2_3!$B$30:$B$69</c:f>
              <c:numCache>
                <c:formatCode>General</c:formatCode>
                <c:ptCount val="40"/>
                <c:pt idx="0">
                  <c:v>0.22196732442748893</c:v>
                </c:pt>
                <c:pt idx="1">
                  <c:v>0.22196732442748893</c:v>
                </c:pt>
                <c:pt idx="2">
                  <c:v>0.24075450192787434</c:v>
                </c:pt>
                <c:pt idx="3">
                  <c:v>0.24075450192787434</c:v>
                </c:pt>
                <c:pt idx="4">
                  <c:v>0.24075450192787434</c:v>
                </c:pt>
                <c:pt idx="5">
                  <c:v>0.25755490574566642</c:v>
                </c:pt>
                <c:pt idx="6">
                  <c:v>0.25755490574566642</c:v>
                </c:pt>
                <c:pt idx="7">
                  <c:v>0.25755490574566642</c:v>
                </c:pt>
                <c:pt idx="8">
                  <c:v>0.2835893075648816</c:v>
                </c:pt>
                <c:pt idx="9">
                  <c:v>0.2835893075648816</c:v>
                </c:pt>
                <c:pt idx="10">
                  <c:v>0.2835893075648816</c:v>
                </c:pt>
                <c:pt idx="11">
                  <c:v>0.2835893075648816</c:v>
                </c:pt>
                <c:pt idx="12">
                  <c:v>0.2835893075648816</c:v>
                </c:pt>
                <c:pt idx="13">
                  <c:v>0.2835893075648816</c:v>
                </c:pt>
                <c:pt idx="14">
                  <c:v>0.25757443258621648</c:v>
                </c:pt>
                <c:pt idx="15">
                  <c:v>0.25757443258621648</c:v>
                </c:pt>
                <c:pt idx="16">
                  <c:v>0.25757443258621648</c:v>
                </c:pt>
                <c:pt idx="17">
                  <c:v>0.25757443258621648</c:v>
                </c:pt>
                <c:pt idx="18">
                  <c:v>0.25605156263574352</c:v>
                </c:pt>
                <c:pt idx="19">
                  <c:v>0.25605156263574352</c:v>
                </c:pt>
                <c:pt idx="20">
                  <c:v>6.8845441354932452E-2</c:v>
                </c:pt>
                <c:pt idx="21">
                  <c:v>6.8845441354932452E-2</c:v>
                </c:pt>
                <c:pt idx="22">
                  <c:v>6.8845441354932452E-2</c:v>
                </c:pt>
                <c:pt idx="23">
                  <c:v>0.13436439688082044</c:v>
                </c:pt>
                <c:pt idx="24">
                  <c:v>0.13436439688082044</c:v>
                </c:pt>
                <c:pt idx="25">
                  <c:v>0.13436439688082044</c:v>
                </c:pt>
                <c:pt idx="26">
                  <c:v>0.13436439688082044</c:v>
                </c:pt>
                <c:pt idx="27">
                  <c:v>0.17331807343684258</c:v>
                </c:pt>
                <c:pt idx="28">
                  <c:v>0.17331807343684258</c:v>
                </c:pt>
                <c:pt idx="29">
                  <c:v>0.17331807343684258</c:v>
                </c:pt>
                <c:pt idx="30">
                  <c:v>0.17331807343684258</c:v>
                </c:pt>
                <c:pt idx="31">
                  <c:v>0.12111665869830739</c:v>
                </c:pt>
                <c:pt idx="32">
                  <c:v>0.12111665869830739</c:v>
                </c:pt>
                <c:pt idx="33">
                  <c:v>0.12111665869830739</c:v>
                </c:pt>
                <c:pt idx="34">
                  <c:v>0.14693514351663553</c:v>
                </c:pt>
                <c:pt idx="35">
                  <c:v>0.14693514351663553</c:v>
                </c:pt>
                <c:pt idx="36">
                  <c:v>0.14693514351663553</c:v>
                </c:pt>
                <c:pt idx="37">
                  <c:v>0.14693514351663553</c:v>
                </c:pt>
                <c:pt idx="38">
                  <c:v>0.16977346781107361</c:v>
                </c:pt>
                <c:pt idx="39">
                  <c:v>0.16977346781107361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F5-42BD-9BDC-6B79ED202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888479"/>
        <c:axId val="90105279"/>
      </c:scatterChart>
      <c:valAx>
        <c:axId val="290888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105279"/>
        <c:crosses val="autoZero"/>
        <c:crossBetween val="midCat"/>
      </c:valAx>
      <c:valAx>
        <c:axId val="901052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9088847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Sheet1!$B$2:$B$38</c:f>
              <c:numCache>
                <c:formatCode>General</c:formatCode>
                <c:ptCount val="3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xVal>
          <c:yVal>
            <c:numRef>
              <c:f>Sheet1!$S$2:$S$38</c:f>
              <c:numCache>
                <c:formatCode>0.00_ </c:formatCode>
                <c:ptCount val="37"/>
                <c:pt idx="0">
                  <c:v>0.19337460652021549</c:v>
                </c:pt>
                <c:pt idx="1">
                  <c:v>0.19491772976184968</c:v>
                </c:pt>
                <c:pt idx="2">
                  <c:v>0.28977146430933753</c:v>
                </c:pt>
                <c:pt idx="3">
                  <c:v>0.21370902953673371</c:v>
                </c:pt>
                <c:pt idx="4">
                  <c:v>0.20143636857015554</c:v>
                </c:pt>
                <c:pt idx="5">
                  <c:v>0.30600967993685441</c:v>
                </c:pt>
                <c:pt idx="6">
                  <c:v>0.22719054258426613</c:v>
                </c:pt>
                <c:pt idx="7">
                  <c:v>0.26812192548804736</c:v>
                </c:pt>
                <c:pt idx="8">
                  <c:v>0.31309405432537474</c:v>
                </c:pt>
                <c:pt idx="9">
                  <c:v>0.314505092620603</c:v>
                </c:pt>
                <c:pt idx="10">
                  <c:v>0.27474076409141457</c:v>
                </c:pt>
                <c:pt idx="11">
                  <c:v>0.26711080912957191</c:v>
                </c:pt>
                <c:pt idx="12">
                  <c:v>0.22382279388081558</c:v>
                </c:pt>
                <c:pt idx="13">
                  <c:v>0.23055707874016895</c:v>
                </c:pt>
                <c:pt idx="14">
                  <c:v>0.22501717760090295</c:v>
                </c:pt>
                <c:pt idx="15">
                  <c:v>0.29453279493091816</c:v>
                </c:pt>
                <c:pt idx="16">
                  <c:v>0.26213411700169947</c:v>
                </c:pt>
                <c:pt idx="17">
                  <c:v>9.0051872897541171E-2</c:v>
                </c:pt>
                <c:pt idx="18">
                  <c:v>9.0078602339485808E-2</c:v>
                </c:pt>
                <c:pt idx="19">
                  <c:v>0.10086173798414921</c:v>
                </c:pt>
                <c:pt idx="20">
                  <c:v>0.11782391681792589</c:v>
                </c:pt>
                <c:pt idx="21">
                  <c:v>0.11692416541435621</c:v>
                </c:pt>
                <c:pt idx="22">
                  <c:v>0.1249591280756642</c:v>
                </c:pt>
                <c:pt idx="23">
                  <c:v>0.12364489478192853</c:v>
                </c:pt>
                <c:pt idx="24">
                  <c:v>0.16313552957338034</c:v>
                </c:pt>
                <c:pt idx="25">
                  <c:v>0.18274629630683206</c:v>
                </c:pt>
                <c:pt idx="26">
                  <c:v>0.18288294251160697</c:v>
                </c:pt>
                <c:pt idx="27">
                  <c:v>0.18848864380072042</c:v>
                </c:pt>
                <c:pt idx="28">
                  <c:v>0.11202502966077635</c:v>
                </c:pt>
                <c:pt idx="29">
                  <c:v>0.11700261167891221</c:v>
                </c:pt>
                <c:pt idx="30">
                  <c:v>0.13264311380827298</c:v>
                </c:pt>
                <c:pt idx="31">
                  <c:v>0.15678170211611872</c:v>
                </c:pt>
                <c:pt idx="32">
                  <c:v>0.12118893985259621</c:v>
                </c:pt>
                <c:pt idx="33">
                  <c:v>0.14094532827403139</c:v>
                </c:pt>
                <c:pt idx="34">
                  <c:v>0.12268267034416191</c:v>
                </c:pt>
                <c:pt idx="35">
                  <c:v>0.15867670966544042</c:v>
                </c:pt>
                <c:pt idx="3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B4-41E7-BB55-84E60017E2F3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Sheet1!$B$2:$B$38</c:f>
              <c:numCache>
                <c:formatCode>General</c:formatCode>
                <c:ptCount val="3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xVal>
          <c:yVal>
            <c:numRef>
              <c:f>delta_s2_3!$B$30:$B$69</c:f>
              <c:numCache>
                <c:formatCode>General</c:formatCode>
                <c:ptCount val="40"/>
                <c:pt idx="0">
                  <c:v>0.22196732442748893</c:v>
                </c:pt>
                <c:pt idx="1">
                  <c:v>0.22196732442748893</c:v>
                </c:pt>
                <c:pt idx="2">
                  <c:v>0.24075450192787434</c:v>
                </c:pt>
                <c:pt idx="3">
                  <c:v>0.24075450192787434</c:v>
                </c:pt>
                <c:pt idx="4">
                  <c:v>0.24075450192787434</c:v>
                </c:pt>
                <c:pt idx="5">
                  <c:v>0.25755490574566642</c:v>
                </c:pt>
                <c:pt idx="6">
                  <c:v>0.25755490574566642</c:v>
                </c:pt>
                <c:pt idx="7">
                  <c:v>0.25755490574566642</c:v>
                </c:pt>
                <c:pt idx="8">
                  <c:v>0.2835893075648816</c:v>
                </c:pt>
                <c:pt idx="9">
                  <c:v>0.2835893075648816</c:v>
                </c:pt>
                <c:pt idx="10">
                  <c:v>0.2835893075648816</c:v>
                </c:pt>
                <c:pt idx="11">
                  <c:v>0.2835893075648816</c:v>
                </c:pt>
                <c:pt idx="12">
                  <c:v>0.2835893075648816</c:v>
                </c:pt>
                <c:pt idx="13">
                  <c:v>0.2835893075648816</c:v>
                </c:pt>
                <c:pt idx="14">
                  <c:v>0.25757443258621648</c:v>
                </c:pt>
                <c:pt idx="15">
                  <c:v>0.25757443258621648</c:v>
                </c:pt>
                <c:pt idx="16">
                  <c:v>0.25757443258621648</c:v>
                </c:pt>
                <c:pt idx="17">
                  <c:v>0.25757443258621648</c:v>
                </c:pt>
                <c:pt idx="18">
                  <c:v>0.25605156263574352</c:v>
                </c:pt>
                <c:pt idx="19">
                  <c:v>0.25605156263574352</c:v>
                </c:pt>
                <c:pt idx="20">
                  <c:v>6.8845441354932452E-2</c:v>
                </c:pt>
                <c:pt idx="21">
                  <c:v>6.8845441354932452E-2</c:v>
                </c:pt>
                <c:pt idx="22">
                  <c:v>6.8845441354932452E-2</c:v>
                </c:pt>
                <c:pt idx="23">
                  <c:v>0.13436439688082044</c:v>
                </c:pt>
                <c:pt idx="24">
                  <c:v>0.13436439688082044</c:v>
                </c:pt>
                <c:pt idx="25">
                  <c:v>0.13436439688082044</c:v>
                </c:pt>
                <c:pt idx="26">
                  <c:v>0.13436439688082044</c:v>
                </c:pt>
                <c:pt idx="27">
                  <c:v>0.17331807343684258</c:v>
                </c:pt>
                <c:pt idx="28">
                  <c:v>0.17331807343684258</c:v>
                </c:pt>
                <c:pt idx="29">
                  <c:v>0.17331807343684258</c:v>
                </c:pt>
                <c:pt idx="30">
                  <c:v>0.17331807343684258</c:v>
                </c:pt>
                <c:pt idx="31">
                  <c:v>0.12111665869830739</c:v>
                </c:pt>
                <c:pt idx="32">
                  <c:v>0.12111665869830739</c:v>
                </c:pt>
                <c:pt idx="33">
                  <c:v>0.12111665869830739</c:v>
                </c:pt>
                <c:pt idx="34">
                  <c:v>0.14693514351663553</c:v>
                </c:pt>
                <c:pt idx="35">
                  <c:v>0.14693514351663553</c:v>
                </c:pt>
                <c:pt idx="36">
                  <c:v>0.14693514351663553</c:v>
                </c:pt>
                <c:pt idx="37">
                  <c:v>0.14693514351663553</c:v>
                </c:pt>
                <c:pt idx="38">
                  <c:v>0.16977346781107361</c:v>
                </c:pt>
                <c:pt idx="39">
                  <c:v>0.16977346781107361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B4-41E7-BB55-84E60017E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52671"/>
        <c:axId val="1544283487"/>
      </c:scatterChart>
      <c:valAx>
        <c:axId val="187952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4283487"/>
        <c:crosses val="autoZero"/>
        <c:crossBetween val="midCat"/>
      </c:valAx>
      <c:valAx>
        <c:axId val="15442834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8795267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Sheet1!$C$2:$C$38</c:f>
              <c:numCache>
                <c:formatCode>0.00</c:formatCode>
                <c:ptCount val="37"/>
                <c:pt idx="0">
                  <c:v>0.31058285412302489</c:v>
                </c:pt>
                <c:pt idx="1">
                  <c:v>0.31058285412302489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0.84852813742385702</c:v>
                </c:pt>
                <c:pt idx="6">
                  <c:v>0.84852813742385702</c:v>
                </c:pt>
                <c:pt idx="7">
                  <c:v>0.84852813742385702</c:v>
                </c:pt>
                <c:pt idx="8">
                  <c:v>0.48445078585219159</c:v>
                </c:pt>
                <c:pt idx="9">
                  <c:v>0.48445078585219159</c:v>
                </c:pt>
                <c:pt idx="10">
                  <c:v>0.48445078585219159</c:v>
                </c:pt>
                <c:pt idx="11">
                  <c:v>0.79372539331937708</c:v>
                </c:pt>
                <c:pt idx="12">
                  <c:v>0.79372539331937708</c:v>
                </c:pt>
                <c:pt idx="13">
                  <c:v>0.79372539331937708</c:v>
                </c:pt>
                <c:pt idx="14">
                  <c:v>0.79372539331937708</c:v>
                </c:pt>
                <c:pt idx="15">
                  <c:v>1.0816653826391966</c:v>
                </c:pt>
                <c:pt idx="16">
                  <c:v>1.0816653826391966</c:v>
                </c:pt>
                <c:pt idx="17">
                  <c:v>0.48445078585219159</c:v>
                </c:pt>
                <c:pt idx="18">
                  <c:v>0.48445078585219159</c:v>
                </c:pt>
                <c:pt idx="19">
                  <c:v>0.48445078585219159</c:v>
                </c:pt>
                <c:pt idx="20">
                  <c:v>0.79372539331937708</c:v>
                </c:pt>
                <c:pt idx="21">
                  <c:v>0.79372539331937708</c:v>
                </c:pt>
                <c:pt idx="22">
                  <c:v>0.79372539331937708</c:v>
                </c:pt>
                <c:pt idx="23">
                  <c:v>0.79372539331937708</c:v>
                </c:pt>
                <c:pt idx="24">
                  <c:v>1.0816653826391966</c:v>
                </c:pt>
                <c:pt idx="25">
                  <c:v>1.0816653826391966</c:v>
                </c:pt>
                <c:pt idx="26">
                  <c:v>1.0816653826391966</c:v>
                </c:pt>
                <c:pt idx="27">
                  <c:v>1.0816653826391966</c:v>
                </c:pt>
                <c:pt idx="28">
                  <c:v>0.46587428118453739</c:v>
                </c:pt>
                <c:pt idx="29">
                  <c:v>0.46587428118453739</c:v>
                </c:pt>
                <c:pt idx="30">
                  <c:v>0.46587428118453739</c:v>
                </c:pt>
                <c:pt idx="31">
                  <c:v>0.89999999999999991</c:v>
                </c:pt>
                <c:pt idx="32">
                  <c:v>0.89999999999999991</c:v>
                </c:pt>
                <c:pt idx="33">
                  <c:v>0.89999999999999991</c:v>
                </c:pt>
                <c:pt idx="34">
                  <c:v>0.89999999999999991</c:v>
                </c:pt>
                <c:pt idx="35">
                  <c:v>1.2727922061357855</c:v>
                </c:pt>
                <c:pt idx="36">
                  <c:v>1.2727922061357855</c:v>
                </c:pt>
              </c:numCache>
            </c:numRef>
          </c:xVal>
          <c:yVal>
            <c:numRef>
              <c:f>Sheet1!$S$2:$S$38</c:f>
              <c:numCache>
                <c:formatCode>0.00_ </c:formatCode>
                <c:ptCount val="37"/>
                <c:pt idx="0">
                  <c:v>0.19337460652021549</c:v>
                </c:pt>
                <c:pt idx="1">
                  <c:v>0.19491772976184968</c:v>
                </c:pt>
                <c:pt idx="2">
                  <c:v>0.28977146430933753</c:v>
                </c:pt>
                <c:pt idx="3">
                  <c:v>0.21370902953673371</c:v>
                </c:pt>
                <c:pt idx="4">
                  <c:v>0.20143636857015554</c:v>
                </c:pt>
                <c:pt idx="5">
                  <c:v>0.30600967993685441</c:v>
                </c:pt>
                <c:pt idx="6">
                  <c:v>0.22719054258426613</c:v>
                </c:pt>
                <c:pt idx="7">
                  <c:v>0.26812192548804736</c:v>
                </c:pt>
                <c:pt idx="8">
                  <c:v>0.31309405432537474</c:v>
                </c:pt>
                <c:pt idx="9">
                  <c:v>0.314505092620603</c:v>
                </c:pt>
                <c:pt idx="10">
                  <c:v>0.27474076409141457</c:v>
                </c:pt>
                <c:pt idx="11">
                  <c:v>0.26711080912957191</c:v>
                </c:pt>
                <c:pt idx="12">
                  <c:v>0.22382279388081558</c:v>
                </c:pt>
                <c:pt idx="13">
                  <c:v>0.23055707874016895</c:v>
                </c:pt>
                <c:pt idx="14">
                  <c:v>0.22501717760090295</c:v>
                </c:pt>
                <c:pt idx="15">
                  <c:v>0.29453279493091816</c:v>
                </c:pt>
                <c:pt idx="16">
                  <c:v>0.26213411700169947</c:v>
                </c:pt>
                <c:pt idx="17">
                  <c:v>9.0051872897541171E-2</c:v>
                </c:pt>
                <c:pt idx="18">
                  <c:v>9.0078602339485808E-2</c:v>
                </c:pt>
                <c:pt idx="19">
                  <c:v>0.10086173798414921</c:v>
                </c:pt>
                <c:pt idx="20">
                  <c:v>0.11782391681792589</c:v>
                </c:pt>
                <c:pt idx="21">
                  <c:v>0.11692416541435621</c:v>
                </c:pt>
                <c:pt idx="22">
                  <c:v>0.1249591280756642</c:v>
                </c:pt>
                <c:pt idx="23">
                  <c:v>0.12364489478192853</c:v>
                </c:pt>
                <c:pt idx="24">
                  <c:v>0.16313552957338034</c:v>
                </c:pt>
                <c:pt idx="25">
                  <c:v>0.18274629630683206</c:v>
                </c:pt>
                <c:pt idx="26">
                  <c:v>0.18288294251160697</c:v>
                </c:pt>
                <c:pt idx="27">
                  <c:v>0.18848864380072042</c:v>
                </c:pt>
                <c:pt idx="28">
                  <c:v>0.11202502966077635</c:v>
                </c:pt>
                <c:pt idx="29">
                  <c:v>0.11700261167891221</c:v>
                </c:pt>
                <c:pt idx="30">
                  <c:v>0.13264311380827298</c:v>
                </c:pt>
                <c:pt idx="31">
                  <c:v>0.15678170211611872</c:v>
                </c:pt>
                <c:pt idx="32">
                  <c:v>0.12118893985259621</c:v>
                </c:pt>
                <c:pt idx="33">
                  <c:v>0.14094532827403139</c:v>
                </c:pt>
                <c:pt idx="34">
                  <c:v>0.12268267034416191</c:v>
                </c:pt>
                <c:pt idx="35">
                  <c:v>0.15867670966544042</c:v>
                </c:pt>
                <c:pt idx="3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16-4170-8604-EEAE8AFAB75F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Sheet1!$C$2:$C$38</c:f>
              <c:numCache>
                <c:formatCode>0.00</c:formatCode>
                <c:ptCount val="37"/>
                <c:pt idx="0">
                  <c:v>0.31058285412302489</c:v>
                </c:pt>
                <c:pt idx="1">
                  <c:v>0.31058285412302489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0.84852813742385702</c:v>
                </c:pt>
                <c:pt idx="6">
                  <c:v>0.84852813742385702</c:v>
                </c:pt>
                <c:pt idx="7">
                  <c:v>0.84852813742385702</c:v>
                </c:pt>
                <c:pt idx="8">
                  <c:v>0.48445078585219159</c:v>
                </c:pt>
                <c:pt idx="9">
                  <c:v>0.48445078585219159</c:v>
                </c:pt>
                <c:pt idx="10">
                  <c:v>0.48445078585219159</c:v>
                </c:pt>
                <c:pt idx="11">
                  <c:v>0.79372539331937708</c:v>
                </c:pt>
                <c:pt idx="12">
                  <c:v>0.79372539331937708</c:v>
                </c:pt>
                <c:pt idx="13">
                  <c:v>0.79372539331937708</c:v>
                </c:pt>
                <c:pt idx="14">
                  <c:v>0.79372539331937708</c:v>
                </c:pt>
                <c:pt idx="15">
                  <c:v>1.0816653826391966</c:v>
                </c:pt>
                <c:pt idx="16">
                  <c:v>1.0816653826391966</c:v>
                </c:pt>
                <c:pt idx="17">
                  <c:v>0.48445078585219159</c:v>
                </c:pt>
                <c:pt idx="18">
                  <c:v>0.48445078585219159</c:v>
                </c:pt>
                <c:pt idx="19">
                  <c:v>0.48445078585219159</c:v>
                </c:pt>
                <c:pt idx="20">
                  <c:v>0.79372539331937708</c:v>
                </c:pt>
                <c:pt idx="21">
                  <c:v>0.79372539331937708</c:v>
                </c:pt>
                <c:pt idx="22">
                  <c:v>0.79372539331937708</c:v>
                </c:pt>
                <c:pt idx="23">
                  <c:v>0.79372539331937708</c:v>
                </c:pt>
                <c:pt idx="24">
                  <c:v>1.0816653826391966</c:v>
                </c:pt>
                <c:pt idx="25">
                  <c:v>1.0816653826391966</c:v>
                </c:pt>
                <c:pt idx="26">
                  <c:v>1.0816653826391966</c:v>
                </c:pt>
                <c:pt idx="27">
                  <c:v>1.0816653826391966</c:v>
                </c:pt>
                <c:pt idx="28">
                  <c:v>0.46587428118453739</c:v>
                </c:pt>
                <c:pt idx="29">
                  <c:v>0.46587428118453739</c:v>
                </c:pt>
                <c:pt idx="30">
                  <c:v>0.46587428118453739</c:v>
                </c:pt>
                <c:pt idx="31">
                  <c:v>0.89999999999999991</c:v>
                </c:pt>
                <c:pt idx="32">
                  <c:v>0.89999999999999991</c:v>
                </c:pt>
                <c:pt idx="33">
                  <c:v>0.89999999999999991</c:v>
                </c:pt>
                <c:pt idx="34">
                  <c:v>0.89999999999999991</c:v>
                </c:pt>
                <c:pt idx="35">
                  <c:v>1.2727922061357855</c:v>
                </c:pt>
                <c:pt idx="36">
                  <c:v>1.2727922061357855</c:v>
                </c:pt>
              </c:numCache>
            </c:numRef>
          </c:xVal>
          <c:yVal>
            <c:numRef>
              <c:f>delta_s2_3!$B$30:$B$69</c:f>
              <c:numCache>
                <c:formatCode>General</c:formatCode>
                <c:ptCount val="40"/>
                <c:pt idx="0">
                  <c:v>0.22196732442748893</c:v>
                </c:pt>
                <c:pt idx="1">
                  <c:v>0.22196732442748893</c:v>
                </c:pt>
                <c:pt idx="2">
                  <c:v>0.24075450192787434</c:v>
                </c:pt>
                <c:pt idx="3">
                  <c:v>0.24075450192787434</c:v>
                </c:pt>
                <c:pt idx="4">
                  <c:v>0.24075450192787434</c:v>
                </c:pt>
                <c:pt idx="5">
                  <c:v>0.25755490574566642</c:v>
                </c:pt>
                <c:pt idx="6">
                  <c:v>0.25755490574566642</c:v>
                </c:pt>
                <c:pt idx="7">
                  <c:v>0.25755490574566642</c:v>
                </c:pt>
                <c:pt idx="8">
                  <c:v>0.2835893075648816</c:v>
                </c:pt>
                <c:pt idx="9">
                  <c:v>0.2835893075648816</c:v>
                </c:pt>
                <c:pt idx="10">
                  <c:v>0.2835893075648816</c:v>
                </c:pt>
                <c:pt idx="11">
                  <c:v>0.2835893075648816</c:v>
                </c:pt>
                <c:pt idx="12">
                  <c:v>0.2835893075648816</c:v>
                </c:pt>
                <c:pt idx="13">
                  <c:v>0.2835893075648816</c:v>
                </c:pt>
                <c:pt idx="14">
                  <c:v>0.25757443258621648</c:v>
                </c:pt>
                <c:pt idx="15">
                  <c:v>0.25757443258621648</c:v>
                </c:pt>
                <c:pt idx="16">
                  <c:v>0.25757443258621648</c:v>
                </c:pt>
                <c:pt idx="17">
                  <c:v>0.25757443258621648</c:v>
                </c:pt>
                <c:pt idx="18">
                  <c:v>0.25605156263574352</c:v>
                </c:pt>
                <c:pt idx="19">
                  <c:v>0.25605156263574352</c:v>
                </c:pt>
                <c:pt idx="20">
                  <c:v>6.8845441354932452E-2</c:v>
                </c:pt>
                <c:pt idx="21">
                  <c:v>6.8845441354932452E-2</c:v>
                </c:pt>
                <c:pt idx="22">
                  <c:v>6.8845441354932452E-2</c:v>
                </c:pt>
                <c:pt idx="23">
                  <c:v>0.13436439688082044</c:v>
                </c:pt>
                <c:pt idx="24">
                  <c:v>0.13436439688082044</c:v>
                </c:pt>
                <c:pt idx="25">
                  <c:v>0.13436439688082044</c:v>
                </c:pt>
                <c:pt idx="26">
                  <c:v>0.13436439688082044</c:v>
                </c:pt>
                <c:pt idx="27">
                  <c:v>0.17331807343684258</c:v>
                </c:pt>
                <c:pt idx="28">
                  <c:v>0.17331807343684258</c:v>
                </c:pt>
                <c:pt idx="29">
                  <c:v>0.17331807343684258</c:v>
                </c:pt>
                <c:pt idx="30">
                  <c:v>0.17331807343684258</c:v>
                </c:pt>
                <c:pt idx="31">
                  <c:v>0.12111665869830739</c:v>
                </c:pt>
                <c:pt idx="32">
                  <c:v>0.12111665869830739</c:v>
                </c:pt>
                <c:pt idx="33">
                  <c:v>0.12111665869830739</c:v>
                </c:pt>
                <c:pt idx="34">
                  <c:v>0.14693514351663553</c:v>
                </c:pt>
                <c:pt idx="35">
                  <c:v>0.14693514351663553</c:v>
                </c:pt>
                <c:pt idx="36">
                  <c:v>0.14693514351663553</c:v>
                </c:pt>
                <c:pt idx="37">
                  <c:v>0.14693514351663553</c:v>
                </c:pt>
                <c:pt idx="38">
                  <c:v>0.16977346781107361</c:v>
                </c:pt>
                <c:pt idx="39">
                  <c:v>0.16977346781107361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16-4170-8604-EEAE8AFAB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313183"/>
        <c:axId val="187952671"/>
      </c:scatterChart>
      <c:valAx>
        <c:axId val="294313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7952671"/>
        <c:crosses val="autoZero"/>
        <c:crossBetween val="midCat"/>
      </c:valAx>
      <c:valAx>
        <c:axId val="1879526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943131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Sheet1!$D$2:$D$38</c:f>
              <c:numCache>
                <c:formatCode>0</c:formatCode>
                <c:ptCount val="37"/>
                <c:pt idx="0">
                  <c:v>75</c:v>
                </c:pt>
                <c:pt idx="1">
                  <c:v>75</c:v>
                </c:pt>
                <c:pt idx="2">
                  <c:v>60.000000000000007</c:v>
                </c:pt>
                <c:pt idx="3">
                  <c:v>60.000000000000007</c:v>
                </c:pt>
                <c:pt idx="4">
                  <c:v>60.000000000000007</c:v>
                </c:pt>
                <c:pt idx="5">
                  <c:v>45.000000000000014</c:v>
                </c:pt>
                <c:pt idx="6">
                  <c:v>45.000000000000014</c:v>
                </c:pt>
                <c:pt idx="7">
                  <c:v>45.000000000000014</c:v>
                </c:pt>
                <c:pt idx="8">
                  <c:v>38.261966199709804</c:v>
                </c:pt>
                <c:pt idx="9">
                  <c:v>38.261966199709804</c:v>
                </c:pt>
                <c:pt idx="10">
                  <c:v>38.261966199709804</c:v>
                </c:pt>
                <c:pt idx="11">
                  <c:v>40.893394649130897</c:v>
                </c:pt>
                <c:pt idx="12">
                  <c:v>40.893394649130897</c:v>
                </c:pt>
                <c:pt idx="13">
                  <c:v>40.893394649130897</c:v>
                </c:pt>
                <c:pt idx="14">
                  <c:v>40.893394649130897</c:v>
                </c:pt>
                <c:pt idx="15">
                  <c:v>33.690067525979785</c:v>
                </c:pt>
                <c:pt idx="16">
                  <c:v>33.690067525979785</c:v>
                </c:pt>
                <c:pt idx="17">
                  <c:v>111.73803380029017</c:v>
                </c:pt>
                <c:pt idx="18">
                  <c:v>111.73803380029017</c:v>
                </c:pt>
                <c:pt idx="19">
                  <c:v>111.73803380029017</c:v>
                </c:pt>
                <c:pt idx="20">
                  <c:v>79.106605350869103</c:v>
                </c:pt>
                <c:pt idx="21">
                  <c:v>79.106605350869103</c:v>
                </c:pt>
                <c:pt idx="22">
                  <c:v>79.106605350869103</c:v>
                </c:pt>
                <c:pt idx="23">
                  <c:v>79.106605350869103</c:v>
                </c:pt>
                <c:pt idx="24">
                  <c:v>56.309932474020208</c:v>
                </c:pt>
                <c:pt idx="25">
                  <c:v>56.309932474020208</c:v>
                </c:pt>
                <c:pt idx="26">
                  <c:v>56.309932474020208</c:v>
                </c:pt>
                <c:pt idx="27">
                  <c:v>56.309932474020208</c:v>
                </c:pt>
                <c:pt idx="28">
                  <c:v>75.000000000000014</c:v>
                </c:pt>
                <c:pt idx="29">
                  <c:v>75.000000000000014</c:v>
                </c:pt>
                <c:pt idx="30">
                  <c:v>75.000000000000014</c:v>
                </c:pt>
                <c:pt idx="31">
                  <c:v>59.999999999999993</c:v>
                </c:pt>
                <c:pt idx="32">
                  <c:v>59.999999999999993</c:v>
                </c:pt>
                <c:pt idx="33">
                  <c:v>59.999999999999993</c:v>
                </c:pt>
                <c:pt idx="34">
                  <c:v>59.999999999999993</c:v>
                </c:pt>
                <c:pt idx="35">
                  <c:v>44.999999999999979</c:v>
                </c:pt>
                <c:pt idx="36">
                  <c:v>44.999999999999979</c:v>
                </c:pt>
              </c:numCache>
            </c:numRef>
          </c:xVal>
          <c:yVal>
            <c:numRef>
              <c:f>Sheet1!$S$2:$S$38</c:f>
              <c:numCache>
                <c:formatCode>0.00_ </c:formatCode>
                <c:ptCount val="37"/>
                <c:pt idx="0">
                  <c:v>0.19337460652021549</c:v>
                </c:pt>
                <c:pt idx="1">
                  <c:v>0.19491772976184968</c:v>
                </c:pt>
                <c:pt idx="2">
                  <c:v>0.28977146430933753</c:v>
                </c:pt>
                <c:pt idx="3">
                  <c:v>0.21370902953673371</c:v>
                </c:pt>
                <c:pt idx="4">
                  <c:v>0.20143636857015554</c:v>
                </c:pt>
                <c:pt idx="5">
                  <c:v>0.30600967993685441</c:v>
                </c:pt>
                <c:pt idx="6">
                  <c:v>0.22719054258426613</c:v>
                </c:pt>
                <c:pt idx="7">
                  <c:v>0.26812192548804736</c:v>
                </c:pt>
                <c:pt idx="8">
                  <c:v>0.31309405432537474</c:v>
                </c:pt>
                <c:pt idx="9">
                  <c:v>0.314505092620603</c:v>
                </c:pt>
                <c:pt idx="10">
                  <c:v>0.27474076409141457</c:v>
                </c:pt>
                <c:pt idx="11">
                  <c:v>0.26711080912957191</c:v>
                </c:pt>
                <c:pt idx="12">
                  <c:v>0.22382279388081558</c:v>
                </c:pt>
                <c:pt idx="13">
                  <c:v>0.23055707874016895</c:v>
                </c:pt>
                <c:pt idx="14">
                  <c:v>0.22501717760090295</c:v>
                </c:pt>
                <c:pt idx="15">
                  <c:v>0.29453279493091816</c:v>
                </c:pt>
                <c:pt idx="16">
                  <c:v>0.26213411700169947</c:v>
                </c:pt>
                <c:pt idx="17">
                  <c:v>9.0051872897541171E-2</c:v>
                </c:pt>
                <c:pt idx="18">
                  <c:v>9.0078602339485808E-2</c:v>
                </c:pt>
                <c:pt idx="19">
                  <c:v>0.10086173798414921</c:v>
                </c:pt>
                <c:pt idx="20">
                  <c:v>0.11782391681792589</c:v>
                </c:pt>
                <c:pt idx="21">
                  <c:v>0.11692416541435621</c:v>
                </c:pt>
                <c:pt idx="22">
                  <c:v>0.1249591280756642</c:v>
                </c:pt>
                <c:pt idx="23">
                  <c:v>0.12364489478192853</c:v>
                </c:pt>
                <c:pt idx="24">
                  <c:v>0.16313552957338034</c:v>
                </c:pt>
                <c:pt idx="25">
                  <c:v>0.18274629630683206</c:v>
                </c:pt>
                <c:pt idx="26">
                  <c:v>0.18288294251160697</c:v>
                </c:pt>
                <c:pt idx="27">
                  <c:v>0.18848864380072042</c:v>
                </c:pt>
                <c:pt idx="28">
                  <c:v>0.11202502966077635</c:v>
                </c:pt>
                <c:pt idx="29">
                  <c:v>0.11700261167891221</c:v>
                </c:pt>
                <c:pt idx="30">
                  <c:v>0.13264311380827298</c:v>
                </c:pt>
                <c:pt idx="31">
                  <c:v>0.15678170211611872</c:v>
                </c:pt>
                <c:pt idx="32">
                  <c:v>0.12118893985259621</c:v>
                </c:pt>
                <c:pt idx="33">
                  <c:v>0.14094532827403139</c:v>
                </c:pt>
                <c:pt idx="34">
                  <c:v>0.12268267034416191</c:v>
                </c:pt>
                <c:pt idx="35">
                  <c:v>0.15867670966544042</c:v>
                </c:pt>
                <c:pt idx="3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AF-442C-994D-C59C1BA39087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Sheet1!$D$2:$D$38</c:f>
              <c:numCache>
                <c:formatCode>0</c:formatCode>
                <c:ptCount val="37"/>
                <c:pt idx="0">
                  <c:v>75</c:v>
                </c:pt>
                <c:pt idx="1">
                  <c:v>75</c:v>
                </c:pt>
                <c:pt idx="2">
                  <c:v>60.000000000000007</c:v>
                </c:pt>
                <c:pt idx="3">
                  <c:v>60.000000000000007</c:v>
                </c:pt>
                <c:pt idx="4">
                  <c:v>60.000000000000007</c:v>
                </c:pt>
                <c:pt idx="5">
                  <c:v>45.000000000000014</c:v>
                </c:pt>
                <c:pt idx="6">
                  <c:v>45.000000000000014</c:v>
                </c:pt>
                <c:pt idx="7">
                  <c:v>45.000000000000014</c:v>
                </c:pt>
                <c:pt idx="8">
                  <c:v>38.261966199709804</c:v>
                </c:pt>
                <c:pt idx="9">
                  <c:v>38.261966199709804</c:v>
                </c:pt>
                <c:pt idx="10">
                  <c:v>38.261966199709804</c:v>
                </c:pt>
                <c:pt idx="11">
                  <c:v>40.893394649130897</c:v>
                </c:pt>
                <c:pt idx="12">
                  <c:v>40.893394649130897</c:v>
                </c:pt>
                <c:pt idx="13">
                  <c:v>40.893394649130897</c:v>
                </c:pt>
                <c:pt idx="14">
                  <c:v>40.893394649130897</c:v>
                </c:pt>
                <c:pt idx="15">
                  <c:v>33.690067525979785</c:v>
                </c:pt>
                <c:pt idx="16">
                  <c:v>33.690067525979785</c:v>
                </c:pt>
                <c:pt idx="17">
                  <c:v>111.73803380029017</c:v>
                </c:pt>
                <c:pt idx="18">
                  <c:v>111.73803380029017</c:v>
                </c:pt>
                <c:pt idx="19">
                  <c:v>111.73803380029017</c:v>
                </c:pt>
                <c:pt idx="20">
                  <c:v>79.106605350869103</c:v>
                </c:pt>
                <c:pt idx="21">
                  <c:v>79.106605350869103</c:v>
                </c:pt>
                <c:pt idx="22">
                  <c:v>79.106605350869103</c:v>
                </c:pt>
                <c:pt idx="23">
                  <c:v>79.106605350869103</c:v>
                </c:pt>
                <c:pt idx="24">
                  <c:v>56.309932474020208</c:v>
                </c:pt>
                <c:pt idx="25">
                  <c:v>56.309932474020208</c:v>
                </c:pt>
                <c:pt idx="26">
                  <c:v>56.309932474020208</c:v>
                </c:pt>
                <c:pt idx="27">
                  <c:v>56.309932474020208</c:v>
                </c:pt>
                <c:pt idx="28">
                  <c:v>75.000000000000014</c:v>
                </c:pt>
                <c:pt idx="29">
                  <c:v>75.000000000000014</c:v>
                </c:pt>
                <c:pt idx="30">
                  <c:v>75.000000000000014</c:v>
                </c:pt>
                <c:pt idx="31">
                  <c:v>59.999999999999993</c:v>
                </c:pt>
                <c:pt idx="32">
                  <c:v>59.999999999999993</c:v>
                </c:pt>
                <c:pt idx="33">
                  <c:v>59.999999999999993</c:v>
                </c:pt>
                <c:pt idx="34">
                  <c:v>59.999999999999993</c:v>
                </c:pt>
                <c:pt idx="35">
                  <c:v>44.999999999999979</c:v>
                </c:pt>
                <c:pt idx="36">
                  <c:v>44.999999999999979</c:v>
                </c:pt>
              </c:numCache>
            </c:numRef>
          </c:xVal>
          <c:yVal>
            <c:numRef>
              <c:f>delta_s2_3!$B$30:$B$69</c:f>
              <c:numCache>
                <c:formatCode>General</c:formatCode>
                <c:ptCount val="40"/>
                <c:pt idx="0">
                  <c:v>0.22196732442748893</c:v>
                </c:pt>
                <c:pt idx="1">
                  <c:v>0.22196732442748893</c:v>
                </c:pt>
                <c:pt idx="2">
                  <c:v>0.24075450192787434</c:v>
                </c:pt>
                <c:pt idx="3">
                  <c:v>0.24075450192787434</c:v>
                </c:pt>
                <c:pt idx="4">
                  <c:v>0.24075450192787434</c:v>
                </c:pt>
                <c:pt idx="5">
                  <c:v>0.25755490574566642</c:v>
                </c:pt>
                <c:pt idx="6">
                  <c:v>0.25755490574566642</c:v>
                </c:pt>
                <c:pt idx="7">
                  <c:v>0.25755490574566642</c:v>
                </c:pt>
                <c:pt idx="8">
                  <c:v>0.2835893075648816</c:v>
                </c:pt>
                <c:pt idx="9">
                  <c:v>0.2835893075648816</c:v>
                </c:pt>
                <c:pt idx="10">
                  <c:v>0.2835893075648816</c:v>
                </c:pt>
                <c:pt idx="11">
                  <c:v>0.2835893075648816</c:v>
                </c:pt>
                <c:pt idx="12">
                  <c:v>0.2835893075648816</c:v>
                </c:pt>
                <c:pt idx="13">
                  <c:v>0.2835893075648816</c:v>
                </c:pt>
                <c:pt idx="14">
                  <c:v>0.25757443258621648</c:v>
                </c:pt>
                <c:pt idx="15">
                  <c:v>0.25757443258621648</c:v>
                </c:pt>
                <c:pt idx="16">
                  <c:v>0.25757443258621648</c:v>
                </c:pt>
                <c:pt idx="17">
                  <c:v>0.25757443258621648</c:v>
                </c:pt>
                <c:pt idx="18">
                  <c:v>0.25605156263574352</c:v>
                </c:pt>
                <c:pt idx="19">
                  <c:v>0.25605156263574352</c:v>
                </c:pt>
                <c:pt idx="20">
                  <c:v>6.8845441354932452E-2</c:v>
                </c:pt>
                <c:pt idx="21">
                  <c:v>6.8845441354932452E-2</c:v>
                </c:pt>
                <c:pt idx="22">
                  <c:v>6.8845441354932452E-2</c:v>
                </c:pt>
                <c:pt idx="23">
                  <c:v>0.13436439688082044</c:v>
                </c:pt>
                <c:pt idx="24">
                  <c:v>0.13436439688082044</c:v>
                </c:pt>
                <c:pt idx="25">
                  <c:v>0.13436439688082044</c:v>
                </c:pt>
                <c:pt idx="26">
                  <c:v>0.13436439688082044</c:v>
                </c:pt>
                <c:pt idx="27">
                  <c:v>0.17331807343684258</c:v>
                </c:pt>
                <c:pt idx="28">
                  <c:v>0.17331807343684258</c:v>
                </c:pt>
                <c:pt idx="29">
                  <c:v>0.17331807343684258</c:v>
                </c:pt>
                <c:pt idx="30">
                  <c:v>0.17331807343684258</c:v>
                </c:pt>
                <c:pt idx="31">
                  <c:v>0.12111665869830739</c:v>
                </c:pt>
                <c:pt idx="32">
                  <c:v>0.12111665869830739</c:v>
                </c:pt>
                <c:pt idx="33">
                  <c:v>0.12111665869830739</c:v>
                </c:pt>
                <c:pt idx="34">
                  <c:v>0.14693514351663553</c:v>
                </c:pt>
                <c:pt idx="35">
                  <c:v>0.14693514351663553</c:v>
                </c:pt>
                <c:pt idx="36">
                  <c:v>0.14693514351663553</c:v>
                </c:pt>
                <c:pt idx="37">
                  <c:v>0.14693514351663553</c:v>
                </c:pt>
                <c:pt idx="38">
                  <c:v>0.16977346781107361</c:v>
                </c:pt>
                <c:pt idx="39">
                  <c:v>0.16977346781107361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AF-442C-994D-C59C1BA39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01695"/>
        <c:axId val="189894975"/>
      </c:scatterChart>
      <c:valAx>
        <c:axId val="189901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89894975"/>
        <c:crosses val="autoZero"/>
        <c:crossBetween val="midCat"/>
      </c:valAx>
      <c:valAx>
        <c:axId val="1898949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899016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Sheet1!$E$2:$E$38</c:f>
              <c:numCache>
                <c:formatCode>General</c:formatCode>
                <c:ptCount val="37"/>
                <c:pt idx="0">
                  <c:v>30</c:v>
                </c:pt>
                <c:pt idx="1">
                  <c:v>30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90</c:v>
                </c:pt>
                <c:pt idx="16">
                  <c:v>90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90</c:v>
                </c:pt>
                <c:pt idx="36">
                  <c:v>90</c:v>
                </c:pt>
              </c:numCache>
            </c:numRef>
          </c:xVal>
          <c:yVal>
            <c:numRef>
              <c:f>Sheet1!$S$2:$S$38</c:f>
              <c:numCache>
                <c:formatCode>0.00_ </c:formatCode>
                <c:ptCount val="37"/>
                <c:pt idx="0">
                  <c:v>0.19337460652021549</c:v>
                </c:pt>
                <c:pt idx="1">
                  <c:v>0.19491772976184968</c:v>
                </c:pt>
                <c:pt idx="2">
                  <c:v>0.28977146430933753</c:v>
                </c:pt>
                <c:pt idx="3">
                  <c:v>0.21370902953673371</c:v>
                </c:pt>
                <c:pt idx="4">
                  <c:v>0.20143636857015554</c:v>
                </c:pt>
                <c:pt idx="5">
                  <c:v>0.30600967993685441</c:v>
                </c:pt>
                <c:pt idx="6">
                  <c:v>0.22719054258426613</c:v>
                </c:pt>
                <c:pt idx="7">
                  <c:v>0.26812192548804736</c:v>
                </c:pt>
                <c:pt idx="8">
                  <c:v>0.31309405432537474</c:v>
                </c:pt>
                <c:pt idx="9">
                  <c:v>0.314505092620603</c:v>
                </c:pt>
                <c:pt idx="10">
                  <c:v>0.27474076409141457</c:v>
                </c:pt>
                <c:pt idx="11">
                  <c:v>0.26711080912957191</c:v>
                </c:pt>
                <c:pt idx="12">
                  <c:v>0.22382279388081558</c:v>
                </c:pt>
                <c:pt idx="13">
                  <c:v>0.23055707874016895</c:v>
                </c:pt>
                <c:pt idx="14">
                  <c:v>0.22501717760090295</c:v>
                </c:pt>
                <c:pt idx="15">
                  <c:v>0.29453279493091816</c:v>
                </c:pt>
                <c:pt idx="16">
                  <c:v>0.26213411700169947</c:v>
                </c:pt>
                <c:pt idx="17">
                  <c:v>9.0051872897541171E-2</c:v>
                </c:pt>
                <c:pt idx="18">
                  <c:v>9.0078602339485808E-2</c:v>
                </c:pt>
                <c:pt idx="19">
                  <c:v>0.10086173798414921</c:v>
                </c:pt>
                <c:pt idx="20">
                  <c:v>0.11782391681792589</c:v>
                </c:pt>
                <c:pt idx="21">
                  <c:v>0.11692416541435621</c:v>
                </c:pt>
                <c:pt idx="22">
                  <c:v>0.1249591280756642</c:v>
                </c:pt>
                <c:pt idx="23">
                  <c:v>0.12364489478192853</c:v>
                </c:pt>
                <c:pt idx="24">
                  <c:v>0.16313552957338034</c:v>
                </c:pt>
                <c:pt idx="25">
                  <c:v>0.18274629630683206</c:v>
                </c:pt>
                <c:pt idx="26">
                  <c:v>0.18288294251160697</c:v>
                </c:pt>
                <c:pt idx="27">
                  <c:v>0.18848864380072042</c:v>
                </c:pt>
                <c:pt idx="28">
                  <c:v>0.11202502966077635</c:v>
                </c:pt>
                <c:pt idx="29">
                  <c:v>0.11700261167891221</c:v>
                </c:pt>
                <c:pt idx="30">
                  <c:v>0.13264311380827298</c:v>
                </c:pt>
                <c:pt idx="31">
                  <c:v>0.15678170211611872</c:v>
                </c:pt>
                <c:pt idx="32">
                  <c:v>0.12118893985259621</c:v>
                </c:pt>
                <c:pt idx="33">
                  <c:v>0.14094532827403139</c:v>
                </c:pt>
                <c:pt idx="34">
                  <c:v>0.12268267034416191</c:v>
                </c:pt>
                <c:pt idx="35">
                  <c:v>0.15867670966544042</c:v>
                </c:pt>
                <c:pt idx="3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96-4199-9AD2-13FD74B257C1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Sheet1!$E$2:$E$38</c:f>
              <c:numCache>
                <c:formatCode>General</c:formatCode>
                <c:ptCount val="37"/>
                <c:pt idx="0">
                  <c:v>30</c:v>
                </c:pt>
                <c:pt idx="1">
                  <c:v>30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90</c:v>
                </c:pt>
                <c:pt idx="16">
                  <c:v>90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90</c:v>
                </c:pt>
                <c:pt idx="36">
                  <c:v>90</c:v>
                </c:pt>
              </c:numCache>
            </c:numRef>
          </c:xVal>
          <c:yVal>
            <c:numRef>
              <c:f>delta_s2_3!$B$30:$B$69</c:f>
              <c:numCache>
                <c:formatCode>General</c:formatCode>
                <c:ptCount val="40"/>
                <c:pt idx="0">
                  <c:v>0.22196732442748893</c:v>
                </c:pt>
                <c:pt idx="1">
                  <c:v>0.22196732442748893</c:v>
                </c:pt>
                <c:pt idx="2">
                  <c:v>0.24075450192787434</c:v>
                </c:pt>
                <c:pt idx="3">
                  <c:v>0.24075450192787434</c:v>
                </c:pt>
                <c:pt idx="4">
                  <c:v>0.24075450192787434</c:v>
                </c:pt>
                <c:pt idx="5">
                  <c:v>0.25755490574566642</c:v>
                </c:pt>
                <c:pt idx="6">
                  <c:v>0.25755490574566642</c:v>
                </c:pt>
                <c:pt idx="7">
                  <c:v>0.25755490574566642</c:v>
                </c:pt>
                <c:pt idx="8">
                  <c:v>0.2835893075648816</c:v>
                </c:pt>
                <c:pt idx="9">
                  <c:v>0.2835893075648816</c:v>
                </c:pt>
                <c:pt idx="10">
                  <c:v>0.2835893075648816</c:v>
                </c:pt>
                <c:pt idx="11">
                  <c:v>0.2835893075648816</c:v>
                </c:pt>
                <c:pt idx="12">
                  <c:v>0.2835893075648816</c:v>
                </c:pt>
                <c:pt idx="13">
                  <c:v>0.2835893075648816</c:v>
                </c:pt>
                <c:pt idx="14">
                  <c:v>0.25757443258621648</c:v>
                </c:pt>
                <c:pt idx="15">
                  <c:v>0.25757443258621648</c:v>
                </c:pt>
                <c:pt idx="16">
                  <c:v>0.25757443258621648</c:v>
                </c:pt>
                <c:pt idx="17">
                  <c:v>0.25757443258621648</c:v>
                </c:pt>
                <c:pt idx="18">
                  <c:v>0.25605156263574352</c:v>
                </c:pt>
                <c:pt idx="19">
                  <c:v>0.25605156263574352</c:v>
                </c:pt>
                <c:pt idx="20">
                  <c:v>6.8845441354932452E-2</c:v>
                </c:pt>
                <c:pt idx="21">
                  <c:v>6.8845441354932452E-2</c:v>
                </c:pt>
                <c:pt idx="22">
                  <c:v>6.8845441354932452E-2</c:v>
                </c:pt>
                <c:pt idx="23">
                  <c:v>0.13436439688082044</c:v>
                </c:pt>
                <c:pt idx="24">
                  <c:v>0.13436439688082044</c:v>
                </c:pt>
                <c:pt idx="25">
                  <c:v>0.13436439688082044</c:v>
                </c:pt>
                <c:pt idx="26">
                  <c:v>0.13436439688082044</c:v>
                </c:pt>
                <c:pt idx="27">
                  <c:v>0.17331807343684258</c:v>
                </c:pt>
                <c:pt idx="28">
                  <c:v>0.17331807343684258</c:v>
                </c:pt>
                <c:pt idx="29">
                  <c:v>0.17331807343684258</c:v>
                </c:pt>
                <c:pt idx="30">
                  <c:v>0.17331807343684258</c:v>
                </c:pt>
                <c:pt idx="31">
                  <c:v>0.12111665869830739</c:v>
                </c:pt>
                <c:pt idx="32">
                  <c:v>0.12111665869830739</c:v>
                </c:pt>
                <c:pt idx="33">
                  <c:v>0.12111665869830739</c:v>
                </c:pt>
                <c:pt idx="34">
                  <c:v>0.14693514351663553</c:v>
                </c:pt>
                <c:pt idx="35">
                  <c:v>0.14693514351663553</c:v>
                </c:pt>
                <c:pt idx="36">
                  <c:v>0.14693514351663553</c:v>
                </c:pt>
                <c:pt idx="37">
                  <c:v>0.14693514351663553</c:v>
                </c:pt>
                <c:pt idx="38">
                  <c:v>0.16977346781107361</c:v>
                </c:pt>
                <c:pt idx="39">
                  <c:v>0.16977346781107361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96-4199-9AD2-13FD74B25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99775"/>
        <c:axId val="189901695"/>
      </c:scatterChart>
      <c:valAx>
        <c:axId val="189899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901695"/>
        <c:crosses val="autoZero"/>
        <c:crossBetween val="midCat"/>
      </c:valAx>
      <c:valAx>
        <c:axId val="1899016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8989977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Sheet1!$F$2:$F$38</c:f>
              <c:numCache>
                <c:formatCode>0</c:formatCode>
                <c:ptCount val="37"/>
                <c:pt idx="0">
                  <c:v>75</c:v>
                </c:pt>
                <c:pt idx="1">
                  <c:v>75</c:v>
                </c:pt>
                <c:pt idx="2">
                  <c:v>59.999999999999993</c:v>
                </c:pt>
                <c:pt idx="3">
                  <c:v>59.999999999999993</c:v>
                </c:pt>
                <c:pt idx="4">
                  <c:v>59.999999999999993</c:v>
                </c:pt>
                <c:pt idx="5">
                  <c:v>44.999999999999986</c:v>
                </c:pt>
                <c:pt idx="6">
                  <c:v>44.999999999999986</c:v>
                </c:pt>
                <c:pt idx="7">
                  <c:v>44.999999999999986</c:v>
                </c:pt>
                <c:pt idx="8">
                  <c:v>111.7380338002902</c:v>
                </c:pt>
                <c:pt idx="9">
                  <c:v>111.7380338002902</c:v>
                </c:pt>
                <c:pt idx="10">
                  <c:v>111.7380338002902</c:v>
                </c:pt>
                <c:pt idx="11">
                  <c:v>79.106605350869103</c:v>
                </c:pt>
                <c:pt idx="12">
                  <c:v>79.106605350869103</c:v>
                </c:pt>
                <c:pt idx="13">
                  <c:v>79.106605350869103</c:v>
                </c:pt>
                <c:pt idx="14">
                  <c:v>79.106605350869103</c:v>
                </c:pt>
                <c:pt idx="15">
                  <c:v>56.309932474020215</c:v>
                </c:pt>
                <c:pt idx="16">
                  <c:v>56.309932474020215</c:v>
                </c:pt>
                <c:pt idx="17">
                  <c:v>38.261966199709839</c:v>
                </c:pt>
                <c:pt idx="18">
                  <c:v>38.261966199709839</c:v>
                </c:pt>
                <c:pt idx="19">
                  <c:v>38.261966199709839</c:v>
                </c:pt>
                <c:pt idx="20">
                  <c:v>40.893394649130897</c:v>
                </c:pt>
                <c:pt idx="21">
                  <c:v>40.893394649130897</c:v>
                </c:pt>
                <c:pt idx="22">
                  <c:v>40.893394649130897</c:v>
                </c:pt>
                <c:pt idx="23">
                  <c:v>40.893394649130897</c:v>
                </c:pt>
                <c:pt idx="24">
                  <c:v>33.690067525979792</c:v>
                </c:pt>
                <c:pt idx="25">
                  <c:v>33.690067525979792</c:v>
                </c:pt>
                <c:pt idx="26">
                  <c:v>33.690067525979792</c:v>
                </c:pt>
                <c:pt idx="27">
                  <c:v>33.690067525979792</c:v>
                </c:pt>
                <c:pt idx="28">
                  <c:v>74.999999999999986</c:v>
                </c:pt>
                <c:pt idx="29">
                  <c:v>74.999999999999986</c:v>
                </c:pt>
                <c:pt idx="30">
                  <c:v>74.999999999999986</c:v>
                </c:pt>
                <c:pt idx="31">
                  <c:v>60.000000000000007</c:v>
                </c:pt>
                <c:pt idx="32">
                  <c:v>60.000000000000007</c:v>
                </c:pt>
                <c:pt idx="33">
                  <c:v>60.000000000000007</c:v>
                </c:pt>
                <c:pt idx="34">
                  <c:v>60.000000000000007</c:v>
                </c:pt>
                <c:pt idx="35">
                  <c:v>45.000000000000021</c:v>
                </c:pt>
                <c:pt idx="36">
                  <c:v>45.000000000000021</c:v>
                </c:pt>
              </c:numCache>
            </c:numRef>
          </c:xVal>
          <c:yVal>
            <c:numRef>
              <c:f>Sheet1!$S$2:$S$38</c:f>
              <c:numCache>
                <c:formatCode>0.00_ </c:formatCode>
                <c:ptCount val="37"/>
                <c:pt idx="0">
                  <c:v>0.19337460652021549</c:v>
                </c:pt>
                <c:pt idx="1">
                  <c:v>0.19491772976184968</c:v>
                </c:pt>
                <c:pt idx="2">
                  <c:v>0.28977146430933753</c:v>
                </c:pt>
                <c:pt idx="3">
                  <c:v>0.21370902953673371</c:v>
                </c:pt>
                <c:pt idx="4">
                  <c:v>0.20143636857015554</c:v>
                </c:pt>
                <c:pt idx="5">
                  <c:v>0.30600967993685441</c:v>
                </c:pt>
                <c:pt idx="6">
                  <c:v>0.22719054258426613</c:v>
                </c:pt>
                <c:pt idx="7">
                  <c:v>0.26812192548804736</c:v>
                </c:pt>
                <c:pt idx="8">
                  <c:v>0.31309405432537474</c:v>
                </c:pt>
                <c:pt idx="9">
                  <c:v>0.314505092620603</c:v>
                </c:pt>
                <c:pt idx="10">
                  <c:v>0.27474076409141457</c:v>
                </c:pt>
                <c:pt idx="11">
                  <c:v>0.26711080912957191</c:v>
                </c:pt>
                <c:pt idx="12">
                  <c:v>0.22382279388081558</c:v>
                </c:pt>
                <c:pt idx="13">
                  <c:v>0.23055707874016895</c:v>
                </c:pt>
                <c:pt idx="14">
                  <c:v>0.22501717760090295</c:v>
                </c:pt>
                <c:pt idx="15">
                  <c:v>0.29453279493091816</c:v>
                </c:pt>
                <c:pt idx="16">
                  <c:v>0.26213411700169947</c:v>
                </c:pt>
                <c:pt idx="17">
                  <c:v>9.0051872897541171E-2</c:v>
                </c:pt>
                <c:pt idx="18">
                  <c:v>9.0078602339485808E-2</c:v>
                </c:pt>
                <c:pt idx="19">
                  <c:v>0.10086173798414921</c:v>
                </c:pt>
                <c:pt idx="20">
                  <c:v>0.11782391681792589</c:v>
                </c:pt>
                <c:pt idx="21">
                  <c:v>0.11692416541435621</c:v>
                </c:pt>
                <c:pt idx="22">
                  <c:v>0.1249591280756642</c:v>
                </c:pt>
                <c:pt idx="23">
                  <c:v>0.12364489478192853</c:v>
                </c:pt>
                <c:pt idx="24">
                  <c:v>0.16313552957338034</c:v>
                </c:pt>
                <c:pt idx="25">
                  <c:v>0.18274629630683206</c:v>
                </c:pt>
                <c:pt idx="26">
                  <c:v>0.18288294251160697</c:v>
                </c:pt>
                <c:pt idx="27">
                  <c:v>0.18848864380072042</c:v>
                </c:pt>
                <c:pt idx="28">
                  <c:v>0.11202502966077635</c:v>
                </c:pt>
                <c:pt idx="29">
                  <c:v>0.11700261167891221</c:v>
                </c:pt>
                <c:pt idx="30">
                  <c:v>0.13264311380827298</c:v>
                </c:pt>
                <c:pt idx="31">
                  <c:v>0.15678170211611872</c:v>
                </c:pt>
                <c:pt idx="32">
                  <c:v>0.12118893985259621</c:v>
                </c:pt>
                <c:pt idx="33">
                  <c:v>0.14094532827403139</c:v>
                </c:pt>
                <c:pt idx="34">
                  <c:v>0.12268267034416191</c:v>
                </c:pt>
                <c:pt idx="35">
                  <c:v>0.15867670966544042</c:v>
                </c:pt>
                <c:pt idx="3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26-4CDE-AEEC-EF4614B251CA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Sheet1!$F$2:$F$38</c:f>
              <c:numCache>
                <c:formatCode>0</c:formatCode>
                <c:ptCount val="37"/>
                <c:pt idx="0">
                  <c:v>75</c:v>
                </c:pt>
                <c:pt idx="1">
                  <c:v>75</c:v>
                </c:pt>
                <c:pt idx="2">
                  <c:v>59.999999999999993</c:v>
                </c:pt>
                <c:pt idx="3">
                  <c:v>59.999999999999993</c:v>
                </c:pt>
                <c:pt idx="4">
                  <c:v>59.999999999999993</c:v>
                </c:pt>
                <c:pt idx="5">
                  <c:v>44.999999999999986</c:v>
                </c:pt>
                <c:pt idx="6">
                  <c:v>44.999999999999986</c:v>
                </c:pt>
                <c:pt idx="7">
                  <c:v>44.999999999999986</c:v>
                </c:pt>
                <c:pt idx="8">
                  <c:v>111.7380338002902</c:v>
                </c:pt>
                <c:pt idx="9">
                  <c:v>111.7380338002902</c:v>
                </c:pt>
                <c:pt idx="10">
                  <c:v>111.7380338002902</c:v>
                </c:pt>
                <c:pt idx="11">
                  <c:v>79.106605350869103</c:v>
                </c:pt>
                <c:pt idx="12">
                  <c:v>79.106605350869103</c:v>
                </c:pt>
                <c:pt idx="13">
                  <c:v>79.106605350869103</c:v>
                </c:pt>
                <c:pt idx="14">
                  <c:v>79.106605350869103</c:v>
                </c:pt>
                <c:pt idx="15">
                  <c:v>56.309932474020215</c:v>
                </c:pt>
                <c:pt idx="16">
                  <c:v>56.309932474020215</c:v>
                </c:pt>
                <c:pt idx="17">
                  <c:v>38.261966199709839</c:v>
                </c:pt>
                <c:pt idx="18">
                  <c:v>38.261966199709839</c:v>
                </c:pt>
                <c:pt idx="19">
                  <c:v>38.261966199709839</c:v>
                </c:pt>
                <c:pt idx="20">
                  <c:v>40.893394649130897</c:v>
                </c:pt>
                <c:pt idx="21">
                  <c:v>40.893394649130897</c:v>
                </c:pt>
                <c:pt idx="22">
                  <c:v>40.893394649130897</c:v>
                </c:pt>
                <c:pt idx="23">
                  <c:v>40.893394649130897</c:v>
                </c:pt>
                <c:pt idx="24">
                  <c:v>33.690067525979792</c:v>
                </c:pt>
                <c:pt idx="25">
                  <c:v>33.690067525979792</c:v>
                </c:pt>
                <c:pt idx="26">
                  <c:v>33.690067525979792</c:v>
                </c:pt>
                <c:pt idx="27">
                  <c:v>33.690067525979792</c:v>
                </c:pt>
                <c:pt idx="28">
                  <c:v>74.999999999999986</c:v>
                </c:pt>
                <c:pt idx="29">
                  <c:v>74.999999999999986</c:v>
                </c:pt>
                <c:pt idx="30">
                  <c:v>74.999999999999986</c:v>
                </c:pt>
                <c:pt idx="31">
                  <c:v>60.000000000000007</c:v>
                </c:pt>
                <c:pt idx="32">
                  <c:v>60.000000000000007</c:v>
                </c:pt>
                <c:pt idx="33">
                  <c:v>60.000000000000007</c:v>
                </c:pt>
                <c:pt idx="34">
                  <c:v>60.000000000000007</c:v>
                </c:pt>
                <c:pt idx="35">
                  <c:v>45.000000000000021</c:v>
                </c:pt>
                <c:pt idx="36">
                  <c:v>45.000000000000021</c:v>
                </c:pt>
              </c:numCache>
            </c:numRef>
          </c:xVal>
          <c:yVal>
            <c:numRef>
              <c:f>delta_s2_3!$B$30:$B$69</c:f>
              <c:numCache>
                <c:formatCode>General</c:formatCode>
                <c:ptCount val="40"/>
                <c:pt idx="0">
                  <c:v>0.22196732442748893</c:v>
                </c:pt>
                <c:pt idx="1">
                  <c:v>0.22196732442748893</c:v>
                </c:pt>
                <c:pt idx="2">
                  <c:v>0.24075450192787434</c:v>
                </c:pt>
                <c:pt idx="3">
                  <c:v>0.24075450192787434</c:v>
                </c:pt>
                <c:pt idx="4">
                  <c:v>0.24075450192787434</c:v>
                </c:pt>
                <c:pt idx="5">
                  <c:v>0.25755490574566642</c:v>
                </c:pt>
                <c:pt idx="6">
                  <c:v>0.25755490574566642</c:v>
                </c:pt>
                <c:pt idx="7">
                  <c:v>0.25755490574566642</c:v>
                </c:pt>
                <c:pt idx="8">
                  <c:v>0.2835893075648816</c:v>
                </c:pt>
                <c:pt idx="9">
                  <c:v>0.2835893075648816</c:v>
                </c:pt>
                <c:pt idx="10">
                  <c:v>0.2835893075648816</c:v>
                </c:pt>
                <c:pt idx="11">
                  <c:v>0.2835893075648816</c:v>
                </c:pt>
                <c:pt idx="12">
                  <c:v>0.2835893075648816</c:v>
                </c:pt>
                <c:pt idx="13">
                  <c:v>0.2835893075648816</c:v>
                </c:pt>
                <c:pt idx="14">
                  <c:v>0.25757443258621648</c:v>
                </c:pt>
                <c:pt idx="15">
                  <c:v>0.25757443258621648</c:v>
                </c:pt>
                <c:pt idx="16">
                  <c:v>0.25757443258621648</c:v>
                </c:pt>
                <c:pt idx="17">
                  <c:v>0.25757443258621648</c:v>
                </c:pt>
                <c:pt idx="18">
                  <c:v>0.25605156263574352</c:v>
                </c:pt>
                <c:pt idx="19">
                  <c:v>0.25605156263574352</c:v>
                </c:pt>
                <c:pt idx="20">
                  <c:v>6.8845441354932452E-2</c:v>
                </c:pt>
                <c:pt idx="21">
                  <c:v>6.8845441354932452E-2</c:v>
                </c:pt>
                <c:pt idx="22">
                  <c:v>6.8845441354932452E-2</c:v>
                </c:pt>
                <c:pt idx="23">
                  <c:v>0.13436439688082044</c:v>
                </c:pt>
                <c:pt idx="24">
                  <c:v>0.13436439688082044</c:v>
                </c:pt>
                <c:pt idx="25">
                  <c:v>0.13436439688082044</c:v>
                </c:pt>
                <c:pt idx="26">
                  <c:v>0.13436439688082044</c:v>
                </c:pt>
                <c:pt idx="27">
                  <c:v>0.17331807343684258</c:v>
                </c:pt>
                <c:pt idx="28">
                  <c:v>0.17331807343684258</c:v>
                </c:pt>
                <c:pt idx="29">
                  <c:v>0.17331807343684258</c:v>
                </c:pt>
                <c:pt idx="30">
                  <c:v>0.17331807343684258</c:v>
                </c:pt>
                <c:pt idx="31">
                  <c:v>0.12111665869830739</c:v>
                </c:pt>
                <c:pt idx="32">
                  <c:v>0.12111665869830739</c:v>
                </c:pt>
                <c:pt idx="33">
                  <c:v>0.12111665869830739</c:v>
                </c:pt>
                <c:pt idx="34">
                  <c:v>0.14693514351663553</c:v>
                </c:pt>
                <c:pt idx="35">
                  <c:v>0.14693514351663553</c:v>
                </c:pt>
                <c:pt idx="36">
                  <c:v>0.14693514351663553</c:v>
                </c:pt>
                <c:pt idx="37">
                  <c:v>0.14693514351663553</c:v>
                </c:pt>
                <c:pt idx="38">
                  <c:v>0.16977346781107361</c:v>
                </c:pt>
                <c:pt idx="39">
                  <c:v>0.16977346781107361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26-4CDE-AEEC-EF4614B25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99775"/>
        <c:axId val="294313183"/>
      </c:scatterChart>
      <c:valAx>
        <c:axId val="189899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94313183"/>
        <c:crosses val="autoZero"/>
        <c:crossBetween val="midCat"/>
      </c:valAx>
      <c:valAx>
        <c:axId val="2943131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8989977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delta_s2_3!$E$30:$E$69</c:f>
              <c:numCache>
                <c:formatCode>General</c:formatCode>
                <c:ptCount val="40"/>
                <c:pt idx="0">
                  <c:v>1.25</c:v>
                </c:pt>
                <c:pt idx="1">
                  <c:v>3.75</c:v>
                </c:pt>
                <c:pt idx="2">
                  <c:v>6.25</c:v>
                </c:pt>
                <c:pt idx="3">
                  <c:v>8.75</c:v>
                </c:pt>
                <c:pt idx="4">
                  <c:v>11.25</c:v>
                </c:pt>
                <c:pt idx="5">
                  <c:v>13.75</c:v>
                </c:pt>
                <c:pt idx="6">
                  <c:v>16.25</c:v>
                </c:pt>
                <c:pt idx="7">
                  <c:v>18.75</c:v>
                </c:pt>
                <c:pt idx="8">
                  <c:v>21.25</c:v>
                </c:pt>
                <c:pt idx="9">
                  <c:v>23.75</c:v>
                </c:pt>
                <c:pt idx="10">
                  <c:v>26.25</c:v>
                </c:pt>
                <c:pt idx="11">
                  <c:v>28.75</c:v>
                </c:pt>
                <c:pt idx="12">
                  <c:v>31.25</c:v>
                </c:pt>
                <c:pt idx="13">
                  <c:v>33.75</c:v>
                </c:pt>
                <c:pt idx="14">
                  <c:v>36.25</c:v>
                </c:pt>
                <c:pt idx="15">
                  <c:v>38.75</c:v>
                </c:pt>
                <c:pt idx="16">
                  <c:v>41.25</c:v>
                </c:pt>
                <c:pt idx="17">
                  <c:v>43.75</c:v>
                </c:pt>
                <c:pt idx="18">
                  <c:v>46.25</c:v>
                </c:pt>
                <c:pt idx="19">
                  <c:v>48.75</c:v>
                </c:pt>
                <c:pt idx="20">
                  <c:v>51.25</c:v>
                </c:pt>
                <c:pt idx="21">
                  <c:v>53.75</c:v>
                </c:pt>
                <c:pt idx="22">
                  <c:v>56.25</c:v>
                </c:pt>
                <c:pt idx="23">
                  <c:v>58.75</c:v>
                </c:pt>
                <c:pt idx="24">
                  <c:v>61.25</c:v>
                </c:pt>
                <c:pt idx="25">
                  <c:v>63.75</c:v>
                </c:pt>
                <c:pt idx="26">
                  <c:v>66.25</c:v>
                </c:pt>
                <c:pt idx="27">
                  <c:v>68.75</c:v>
                </c:pt>
                <c:pt idx="28">
                  <c:v>71.25</c:v>
                </c:pt>
                <c:pt idx="29">
                  <c:v>73.75</c:v>
                </c:pt>
                <c:pt idx="30">
                  <c:v>76.25</c:v>
                </c:pt>
                <c:pt idx="31">
                  <c:v>78.75</c:v>
                </c:pt>
                <c:pt idx="32">
                  <c:v>81.25</c:v>
                </c:pt>
                <c:pt idx="33">
                  <c:v>83.75</c:v>
                </c:pt>
                <c:pt idx="34">
                  <c:v>86.25</c:v>
                </c:pt>
                <c:pt idx="35">
                  <c:v>88.75</c:v>
                </c:pt>
                <c:pt idx="36">
                  <c:v>91.25</c:v>
                </c:pt>
                <c:pt idx="37">
                  <c:v>93.75</c:v>
                </c:pt>
                <c:pt idx="38">
                  <c:v>96.25</c:v>
                </c:pt>
                <c:pt idx="39">
                  <c:v>98.75</c:v>
                </c:pt>
              </c:numCache>
            </c:numRef>
          </c:xVal>
          <c:yVal>
            <c:numRef>
              <c:f>delta_s2_3!$F$30:$F$69</c:f>
              <c:numCache>
                <c:formatCode>General</c:formatCode>
                <c:ptCount val="40"/>
                <c:pt idx="0">
                  <c:v>9.0051872897541171E-2</c:v>
                </c:pt>
                <c:pt idx="1">
                  <c:v>9.0078602339485808E-2</c:v>
                </c:pt>
                <c:pt idx="2">
                  <c:v>0.10086173798414921</c:v>
                </c:pt>
                <c:pt idx="3">
                  <c:v>0.11202502966077635</c:v>
                </c:pt>
                <c:pt idx="4">
                  <c:v>0.11692416541435621</c:v>
                </c:pt>
                <c:pt idx="5">
                  <c:v>0.11700261167891221</c:v>
                </c:pt>
                <c:pt idx="6">
                  <c:v>0.11782391681792589</c:v>
                </c:pt>
                <c:pt idx="7">
                  <c:v>0.12118893985259621</c:v>
                </c:pt>
                <c:pt idx="8">
                  <c:v>0.12268267034416191</c:v>
                </c:pt>
                <c:pt idx="9">
                  <c:v>0.12364489478192853</c:v>
                </c:pt>
                <c:pt idx="10">
                  <c:v>0.1249591280756642</c:v>
                </c:pt>
                <c:pt idx="11">
                  <c:v>0.13264311380827298</c:v>
                </c:pt>
                <c:pt idx="12">
                  <c:v>0.14094532827403139</c:v>
                </c:pt>
                <c:pt idx="13">
                  <c:v>0.15678170211611872</c:v>
                </c:pt>
                <c:pt idx="14">
                  <c:v>0.15867670966544042</c:v>
                </c:pt>
                <c:pt idx="15">
                  <c:v>0.16313552957338034</c:v>
                </c:pt>
                <c:pt idx="16">
                  <c:v>0.18274629630683206</c:v>
                </c:pt>
                <c:pt idx="17">
                  <c:v>0.18288294251160697</c:v>
                </c:pt>
                <c:pt idx="18">
                  <c:v>0.18435985521516077</c:v>
                </c:pt>
                <c:pt idx="19">
                  <c:v>0.18848864380072042</c:v>
                </c:pt>
                <c:pt idx="20">
                  <c:v>0.19337460652021549</c:v>
                </c:pt>
                <c:pt idx="21">
                  <c:v>0.19491772976184968</c:v>
                </c:pt>
                <c:pt idx="22">
                  <c:v>0.20143636857015554</c:v>
                </c:pt>
                <c:pt idx="23">
                  <c:v>0.21370902953673371</c:v>
                </c:pt>
                <c:pt idx="24">
                  <c:v>0.22382279388081558</c:v>
                </c:pt>
                <c:pt idx="25">
                  <c:v>0.22501717760090295</c:v>
                </c:pt>
                <c:pt idx="26">
                  <c:v>0.22719054258426613</c:v>
                </c:pt>
                <c:pt idx="27">
                  <c:v>0.23055707874016895</c:v>
                </c:pt>
                <c:pt idx="28">
                  <c:v>0.26213411700169947</c:v>
                </c:pt>
                <c:pt idx="29">
                  <c:v>0.26711080912957191</c:v>
                </c:pt>
                <c:pt idx="30">
                  <c:v>0.26812192548804736</c:v>
                </c:pt>
                <c:pt idx="31">
                  <c:v>0.27394656157371061</c:v>
                </c:pt>
                <c:pt idx="32">
                  <c:v>0.27474076409141457</c:v>
                </c:pt>
                <c:pt idx="33">
                  <c:v>0.28977146430933753</c:v>
                </c:pt>
                <c:pt idx="34">
                  <c:v>0.29453279493091816</c:v>
                </c:pt>
                <c:pt idx="35">
                  <c:v>0.30200922606028952</c:v>
                </c:pt>
                <c:pt idx="36">
                  <c:v>0.30600967993685441</c:v>
                </c:pt>
                <c:pt idx="37">
                  <c:v>0.30679775621831551</c:v>
                </c:pt>
                <c:pt idx="38">
                  <c:v>0.31309405432537474</c:v>
                </c:pt>
                <c:pt idx="39">
                  <c:v>0.314505092620603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6E-4A99-9C5E-869E6FFB3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316927"/>
        <c:axId val="290319807"/>
      </c:scatterChart>
      <c:valAx>
        <c:axId val="290316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319807"/>
        <c:crosses val="autoZero"/>
        <c:crossBetween val="midCat"/>
      </c:valAx>
      <c:valAx>
        <c:axId val="2903198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31692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4</xdr:row>
      <xdr:rowOff>47626</xdr:rowOff>
    </xdr:from>
    <xdr:to>
      <xdr:col>21</xdr:col>
      <xdr:colOff>7620</xdr:colOff>
      <xdr:row>21</xdr:row>
      <xdr:rowOff>7621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B6F2928-3AC9-B500-BEB3-39A99E0FF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91440</xdr:colOff>
      <xdr:row>23</xdr:row>
      <xdr:rowOff>133349</xdr:rowOff>
    </xdr:from>
    <xdr:to>
      <xdr:col>20</xdr:col>
      <xdr:colOff>542925</xdr:colOff>
      <xdr:row>41</xdr:row>
      <xdr:rowOff>133349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9E12939-96FC-988C-C5C3-5052822BD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99059</xdr:colOff>
      <xdr:row>42</xdr:row>
      <xdr:rowOff>135255</xdr:rowOff>
    </xdr:from>
    <xdr:to>
      <xdr:col>21</xdr:col>
      <xdr:colOff>19050</xdr:colOff>
      <xdr:row>60</xdr:row>
      <xdr:rowOff>95250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4AAA9BE0-8396-549F-063E-CA6933B5D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489584</xdr:colOff>
      <xdr:row>13</xdr:row>
      <xdr:rowOff>76200</xdr:rowOff>
    </xdr:from>
    <xdr:to>
      <xdr:col>33</xdr:col>
      <xdr:colOff>257175</xdr:colOff>
      <xdr:row>30</xdr:row>
      <xdr:rowOff>91440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CE4DCE9-5ADF-8129-DB10-598E0ECD2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396240</xdr:colOff>
      <xdr:row>1</xdr:row>
      <xdr:rowOff>180975</xdr:rowOff>
    </xdr:from>
    <xdr:to>
      <xdr:col>27</xdr:col>
      <xdr:colOff>396240</xdr:colOff>
      <xdr:row>11</xdr:row>
      <xdr:rowOff>177165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FD72B69A-ABC1-1C1A-C7C3-F2007AC72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148590</xdr:colOff>
      <xdr:row>1</xdr:row>
      <xdr:rowOff>15240</xdr:rowOff>
    </xdr:from>
    <xdr:to>
      <xdr:col>19</xdr:col>
      <xdr:colOff>323850</xdr:colOff>
      <xdr:row>15</xdr:row>
      <xdr:rowOff>38100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62C748C-8A09-20D3-32E1-A204B4B84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205740</xdr:colOff>
      <xdr:row>11</xdr:row>
      <xdr:rowOff>0</xdr:rowOff>
    </xdr:from>
    <xdr:to>
      <xdr:col>18</xdr:col>
      <xdr:colOff>205740</xdr:colOff>
      <xdr:row>20</xdr:row>
      <xdr:rowOff>186690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B8E7527-6FA6-55C0-DB8E-33C21E96E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352426</xdr:colOff>
      <xdr:row>22</xdr:row>
      <xdr:rowOff>95250</xdr:rowOff>
    </xdr:from>
    <xdr:to>
      <xdr:col>21</xdr:col>
      <xdr:colOff>285750</xdr:colOff>
      <xdr:row>41</xdr:row>
      <xdr:rowOff>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CF26318-5911-05D0-C8CB-6BC27ABE6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247650</xdr:colOff>
      <xdr:row>13</xdr:row>
      <xdr:rowOff>152399</xdr:rowOff>
    </xdr:from>
    <xdr:to>
      <xdr:col>32</xdr:col>
      <xdr:colOff>419100</xdr:colOff>
      <xdr:row>33</xdr:row>
      <xdr:rowOff>60959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24B56674-4527-ACF9-CC20-3632161FC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272415</xdr:colOff>
      <xdr:row>2</xdr:row>
      <xdr:rowOff>104775</xdr:rowOff>
    </xdr:from>
    <xdr:to>
      <xdr:col>27</xdr:col>
      <xdr:colOff>272415</xdr:colOff>
      <xdr:row>12</xdr:row>
      <xdr:rowOff>110490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94E7A94A-C9B4-82D2-D8CE-3DC0D03B9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10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82113E0-F78F-917F-C563-466A92F37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1F1BC88-0CA3-1712-BEB8-82678E6B6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186690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63BB05B-2EBE-BD97-2C75-57F63C45F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240030</xdr:colOff>
      <xdr:row>7</xdr:row>
      <xdr:rowOff>0</xdr:rowOff>
    </xdr:from>
    <xdr:to>
      <xdr:col>18</xdr:col>
      <xdr:colOff>240030</xdr:colOff>
      <xdr:row>17</xdr:row>
      <xdr:rowOff>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8AD6E9E4-8417-83F9-DE66-4C53C4109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240030</xdr:colOff>
      <xdr:row>9</xdr:row>
      <xdr:rowOff>0</xdr:rowOff>
    </xdr:from>
    <xdr:to>
      <xdr:col>19</xdr:col>
      <xdr:colOff>240030</xdr:colOff>
      <xdr:row>18</xdr:row>
      <xdr:rowOff>186690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AE88868A-37DA-B0F0-77BD-EA96D2859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240030</xdr:colOff>
      <xdr:row>11</xdr:row>
      <xdr:rowOff>0</xdr:rowOff>
    </xdr:from>
    <xdr:to>
      <xdr:col>20</xdr:col>
      <xdr:colOff>240030</xdr:colOff>
      <xdr:row>21</xdr:row>
      <xdr:rowOff>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CE0B31B9-46E1-6522-CC55-12CF5074A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247649</xdr:colOff>
      <xdr:row>13</xdr:row>
      <xdr:rowOff>0</xdr:rowOff>
    </xdr:from>
    <xdr:to>
      <xdr:col>23</xdr:col>
      <xdr:colOff>466724</xdr:colOff>
      <xdr:row>28</xdr:row>
      <xdr:rowOff>167640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BE0ACE9B-78D9-166C-453A-F00045786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zoomScaleNormal="100" workbookViewId="0">
      <selection activeCell="A20" sqref="A20:XFD20"/>
    </sheetView>
  </sheetViews>
  <sheetFormatPr defaultRowHeight="15"/>
  <cols>
    <col min="1" max="2" width="18.75" bestFit="1" customWidth="1"/>
    <col min="3" max="4" width="18.75" customWidth="1"/>
    <col min="5" max="5" width="18.75" bestFit="1" customWidth="1"/>
    <col min="6" max="8" width="18.75" customWidth="1"/>
    <col min="9" max="9" width="14.375" customWidth="1"/>
    <col min="10" max="11" width="14" customWidth="1"/>
    <col min="12" max="12" width="14.25" customWidth="1"/>
    <col min="13" max="13" width="14" customWidth="1"/>
    <col min="14" max="14" width="14" bestFit="1" customWidth="1"/>
    <col min="15" max="17" width="15.5" bestFit="1" customWidth="1"/>
    <col min="18" max="19" width="10.25" customWidth="1"/>
    <col min="20" max="20" width="9" customWidth="1"/>
    <col min="21" max="21" width="9.375" customWidth="1"/>
  </cols>
  <sheetData>
    <row r="1" spans="1:21">
      <c r="A1" s="1" t="s">
        <v>10</v>
      </c>
      <c r="B1" s="1" t="s">
        <v>12</v>
      </c>
      <c r="C1" s="1" t="s">
        <v>15</v>
      </c>
      <c r="D1" s="1" t="s">
        <v>47</v>
      </c>
      <c r="E1" s="1" t="s">
        <v>14</v>
      </c>
      <c r="F1" s="1" t="s">
        <v>46</v>
      </c>
      <c r="G1" s="1" t="s">
        <v>48</v>
      </c>
      <c r="H1" s="1" t="s">
        <v>16</v>
      </c>
      <c r="I1" s="1" t="s">
        <v>0</v>
      </c>
      <c r="J1" s="1" t="s">
        <v>1</v>
      </c>
      <c r="K1" s="1" t="s">
        <v>2</v>
      </c>
      <c r="L1" s="1" t="s">
        <v>7</v>
      </c>
      <c r="M1" s="1" t="s">
        <v>3</v>
      </c>
      <c r="N1" s="1" t="s">
        <v>4</v>
      </c>
      <c r="O1" s="1" t="s">
        <v>5</v>
      </c>
      <c r="P1" s="1" t="s">
        <v>7</v>
      </c>
      <c r="Q1" s="1" t="s">
        <v>8</v>
      </c>
      <c r="R1" s="6" t="s">
        <v>17</v>
      </c>
      <c r="S1" s="6" t="s">
        <v>19</v>
      </c>
      <c r="T1" s="6" t="s">
        <v>20</v>
      </c>
      <c r="U1" s="6" t="s">
        <v>50</v>
      </c>
    </row>
    <row r="2" spans="1:21">
      <c r="A2">
        <v>0.6</v>
      </c>
      <c r="B2">
        <v>0.6</v>
      </c>
      <c r="C2" s="2">
        <v>0.31058285412302489</v>
      </c>
      <c r="D2" s="4">
        <v>75</v>
      </c>
      <c r="E2">
        <v>30</v>
      </c>
      <c r="F2" s="4">
        <f t="shared" ref="F2:F38" si="0">DEGREES(ACOS((POWER(H2, 2) + POWER(A2, 2) - POWER(B2, 2)) / (2 * H2 *A2)))</f>
        <v>75</v>
      </c>
      <c r="G2" s="4">
        <f t="shared" ref="G2:G38" si="1">180-E2-F2</f>
        <v>75</v>
      </c>
      <c r="H2" s="2">
        <f>SQRT(POWER(A2, 2) + POWER(B2, 2) - 2 * A2 * B2 * COS(RADIANS(E2)))</f>
        <v>0.31058285412302489</v>
      </c>
      <c r="I2">
        <v>2</v>
      </c>
      <c r="J2" s="3">
        <v>542.05226441841523</v>
      </c>
      <c r="K2" s="3">
        <v>272.27407129640181</v>
      </c>
      <c r="L2" s="3">
        <v>92.2</v>
      </c>
      <c r="M2" s="2">
        <f>SQRT(POWER(K2, 2) + POWER(J2, 2) - 2 * J2 * K2 * COS(RADIANS(L2)))</f>
        <v>615.86109902439557</v>
      </c>
      <c r="N2" s="2">
        <f>J2/1.12/1000</f>
        <v>0.48397523608787069</v>
      </c>
      <c r="O2" s="2">
        <f>K2/1.12/1000</f>
        <v>0.24310184937178733</v>
      </c>
      <c r="P2" s="2">
        <f>L2</f>
        <v>92.2</v>
      </c>
      <c r="Q2" s="2">
        <f>M2/1.12/1000</f>
        <v>0.54987598127178172</v>
      </c>
      <c r="R2" s="5">
        <f t="shared" ref="R2:R38" si="2">A2-Q2</f>
        <v>5.0124018728218256E-2</v>
      </c>
      <c r="S2" s="5">
        <f t="shared" ref="S2:S38" si="3">(B2-N2)/B2</f>
        <v>0.19337460652021549</v>
      </c>
      <c r="T2" s="5">
        <f>(H2-O2)/H2</f>
        <v>0.21727215091051894</v>
      </c>
      <c r="U2" s="5">
        <f>G2-P2</f>
        <v>-17.200000000000003</v>
      </c>
    </row>
    <row r="3" spans="1:21">
      <c r="A3" s="10">
        <v>0.6</v>
      </c>
      <c r="B3" s="10">
        <v>0.6</v>
      </c>
      <c r="C3" s="12">
        <v>0.31058285412302489</v>
      </c>
      <c r="D3" s="11">
        <v>75</v>
      </c>
      <c r="E3" s="10">
        <v>30</v>
      </c>
      <c r="F3" s="11">
        <f t="shared" si="0"/>
        <v>75</v>
      </c>
      <c r="G3" s="11">
        <f t="shared" si="1"/>
        <v>75</v>
      </c>
      <c r="H3" s="12">
        <f t="shared" ref="H3:H38" si="4">SQRT(POWER(A3, 2) + POWER(B3, 2) - 2 * A3 * B3 * COS(RADIANS(E3)))</f>
        <v>0.31058285412302489</v>
      </c>
      <c r="I3" s="10">
        <v>4</v>
      </c>
      <c r="J3" s="13">
        <v>541.01528560003703</v>
      </c>
      <c r="K3" s="13">
        <v>275.56394598851972</v>
      </c>
      <c r="L3" s="13">
        <v>94</v>
      </c>
      <c r="M3" s="2">
        <f t="shared" ref="M3:M38" si="5">SQRT(POWER(K3, 2) + POWER(J3, 2) - 2 * J3 * K3 * COS(RADIANS(L3)))</f>
        <v>624.04504538302615</v>
      </c>
      <c r="N3" s="12">
        <f t="shared" ref="N3:N38" si="6">J3/1.12/1000</f>
        <v>0.48304936214289018</v>
      </c>
      <c r="O3" s="12">
        <f t="shared" ref="O3:Q14" si="7">K3/1.12/1000</f>
        <v>0.24603923748974973</v>
      </c>
      <c r="P3" s="12">
        <f t="shared" ref="P3:P38" si="8">L3</f>
        <v>94</v>
      </c>
      <c r="Q3" s="12">
        <f t="shared" si="7"/>
        <v>0.55718307623484475</v>
      </c>
      <c r="R3" s="14">
        <f t="shared" si="2"/>
        <v>4.2816923765155224E-2</v>
      </c>
      <c r="S3" s="14">
        <f t="shared" si="3"/>
        <v>0.19491772976184968</v>
      </c>
      <c r="T3" s="14">
        <f t="shared" ref="T3:T38" si="9">(H3-O3)/H3</f>
        <v>0.20781448742727052</v>
      </c>
      <c r="U3" s="14">
        <f t="shared" ref="U3:U38" si="10">G3-P3</f>
        <v>-19</v>
      </c>
    </row>
    <row r="4" spans="1:21">
      <c r="A4">
        <v>0.6</v>
      </c>
      <c r="B4">
        <v>0.6</v>
      </c>
      <c r="C4" s="2">
        <v>0.6</v>
      </c>
      <c r="D4" s="4">
        <v>60.000000000000007</v>
      </c>
      <c r="E4">
        <v>60</v>
      </c>
      <c r="F4" s="4">
        <f t="shared" si="0"/>
        <v>59.999999999999993</v>
      </c>
      <c r="G4" s="4">
        <f t="shared" si="1"/>
        <v>60.000000000000007</v>
      </c>
      <c r="H4" s="2">
        <f t="shared" si="4"/>
        <v>0.6</v>
      </c>
      <c r="I4">
        <v>1</v>
      </c>
      <c r="J4" s="3">
        <v>477.27357598412522</v>
      </c>
      <c r="K4" s="3">
        <v>543.66549568787696</v>
      </c>
      <c r="L4" s="3">
        <v>73.2</v>
      </c>
      <c r="M4" s="2">
        <f t="shared" si="5"/>
        <v>611.03840228558977</v>
      </c>
      <c r="N4" s="2">
        <f t="shared" si="6"/>
        <v>0.42613712141439747</v>
      </c>
      <c r="O4" s="2">
        <f t="shared" si="7"/>
        <v>0.48541562114989012</v>
      </c>
      <c r="P4" s="2">
        <f t="shared" si="8"/>
        <v>73.2</v>
      </c>
      <c r="Q4" s="2">
        <f t="shared" si="7"/>
        <v>0.54557000204070505</v>
      </c>
      <c r="R4" s="5">
        <f t="shared" si="2"/>
        <v>5.4429997959294929E-2</v>
      </c>
      <c r="S4" s="5">
        <f t="shared" si="3"/>
        <v>0.28977146430933753</v>
      </c>
      <c r="T4" s="5">
        <f t="shared" si="9"/>
        <v>0.19097396475018311</v>
      </c>
      <c r="U4" s="5">
        <f t="shared" si="10"/>
        <v>-13.199999999999996</v>
      </c>
    </row>
    <row r="5" spans="1:21">
      <c r="A5">
        <v>0.6</v>
      </c>
      <c r="B5">
        <v>0.6</v>
      </c>
      <c r="C5" s="2">
        <v>0.6</v>
      </c>
      <c r="D5" s="4">
        <v>60.000000000000007</v>
      </c>
      <c r="E5">
        <v>60</v>
      </c>
      <c r="F5" s="4">
        <f t="shared" si="0"/>
        <v>59.999999999999993</v>
      </c>
      <c r="G5" s="4">
        <f t="shared" si="1"/>
        <v>60.000000000000007</v>
      </c>
      <c r="H5" s="2">
        <f t="shared" si="4"/>
        <v>0.6</v>
      </c>
      <c r="I5">
        <v>3</v>
      </c>
      <c r="J5" s="3">
        <v>528.38753215131499</v>
      </c>
      <c r="K5" s="3">
        <v>546.25791449803512</v>
      </c>
      <c r="L5" s="3">
        <v>68.2</v>
      </c>
      <c r="M5" s="2">
        <f t="shared" si="5"/>
        <v>602.66983968558918</v>
      </c>
      <c r="N5" s="2">
        <f t="shared" si="6"/>
        <v>0.47177458227795976</v>
      </c>
      <c r="O5" s="2">
        <f t="shared" si="7"/>
        <v>0.48773028080181702</v>
      </c>
      <c r="P5" s="2">
        <f t="shared" si="8"/>
        <v>68.2</v>
      </c>
      <c r="Q5" s="2">
        <f t="shared" si="7"/>
        <v>0.53809807114784747</v>
      </c>
      <c r="R5" s="5">
        <f t="shared" si="2"/>
        <v>6.190192885215251E-2</v>
      </c>
      <c r="S5" s="5">
        <f t="shared" si="3"/>
        <v>0.21370902953673371</v>
      </c>
      <c r="T5" s="5">
        <f t="shared" si="9"/>
        <v>0.18711619866363827</v>
      </c>
      <c r="U5" s="5">
        <f t="shared" si="10"/>
        <v>-8.1999999999999957</v>
      </c>
    </row>
    <row r="6" spans="1:21">
      <c r="A6" s="10">
        <v>0.6</v>
      </c>
      <c r="B6" s="10">
        <v>0.6</v>
      </c>
      <c r="C6" s="12">
        <v>0.6</v>
      </c>
      <c r="D6" s="11">
        <v>60.000000000000007</v>
      </c>
      <c r="E6" s="10">
        <v>60</v>
      </c>
      <c r="F6" s="11">
        <f t="shared" si="0"/>
        <v>59.999999999999993</v>
      </c>
      <c r="G6" s="11">
        <f t="shared" si="1"/>
        <v>60.000000000000007</v>
      </c>
      <c r="H6" s="12">
        <f t="shared" si="4"/>
        <v>0.6</v>
      </c>
      <c r="I6" s="10">
        <v>5</v>
      </c>
      <c r="J6" s="13">
        <v>536.63476032085555</v>
      </c>
      <c r="K6" s="13">
        <v>528.74691908362286</v>
      </c>
      <c r="L6" s="13">
        <v>70.7</v>
      </c>
      <c r="M6" s="2">
        <f t="shared" si="5"/>
        <v>616.43104599803212</v>
      </c>
      <c r="N6" s="12">
        <f t="shared" si="6"/>
        <v>0.47913817885790666</v>
      </c>
      <c r="O6" s="12">
        <f t="shared" si="7"/>
        <v>0.47209546346752035</v>
      </c>
      <c r="P6" s="12">
        <f t="shared" si="8"/>
        <v>70.7</v>
      </c>
      <c r="Q6" s="12">
        <f t="shared" si="7"/>
        <v>0.55038486249824292</v>
      </c>
      <c r="R6" s="14">
        <f t="shared" si="2"/>
        <v>4.9615137501757056E-2</v>
      </c>
      <c r="S6" s="14">
        <f t="shared" si="3"/>
        <v>0.20143636857015554</v>
      </c>
      <c r="T6" s="14">
        <f t="shared" si="9"/>
        <v>0.21317422755413273</v>
      </c>
      <c r="U6" s="14">
        <f t="shared" si="10"/>
        <v>-10.699999999999996</v>
      </c>
    </row>
    <row r="7" spans="1:21">
      <c r="A7">
        <v>0.6</v>
      </c>
      <c r="B7">
        <v>0.6</v>
      </c>
      <c r="C7" s="2">
        <v>0.84852813742385702</v>
      </c>
      <c r="D7" s="4">
        <v>45.000000000000014</v>
      </c>
      <c r="E7">
        <v>90</v>
      </c>
      <c r="F7" s="4">
        <f t="shared" si="0"/>
        <v>44.999999999999986</v>
      </c>
      <c r="G7" s="4">
        <f t="shared" si="1"/>
        <v>45.000000000000014</v>
      </c>
      <c r="H7" s="2">
        <f t="shared" si="4"/>
        <v>0.84852813742385702</v>
      </c>
      <c r="I7">
        <v>1</v>
      </c>
      <c r="J7" s="3">
        <v>466.36149508243392</v>
      </c>
      <c r="K7" s="3">
        <v>756.91047086879905</v>
      </c>
      <c r="L7" s="3">
        <v>53.5</v>
      </c>
      <c r="M7" s="2">
        <f t="shared" si="5"/>
        <v>608.66154452237436</v>
      </c>
      <c r="N7" s="2">
        <f t="shared" si="6"/>
        <v>0.41639419203788736</v>
      </c>
      <c r="O7" s="2">
        <f t="shared" si="7"/>
        <v>0.67581292041857055</v>
      </c>
      <c r="P7" s="2">
        <f t="shared" si="8"/>
        <v>53.5</v>
      </c>
      <c r="Q7" s="2">
        <f t="shared" si="7"/>
        <v>0.54344780760926281</v>
      </c>
      <c r="R7" s="5">
        <f t="shared" si="2"/>
        <v>5.6552192390737166E-2</v>
      </c>
      <c r="S7" s="5">
        <f t="shared" si="3"/>
        <v>0.30600967993685441</v>
      </c>
      <c r="T7" s="5">
        <f t="shared" si="9"/>
        <v>0.20354683526424028</v>
      </c>
      <c r="U7" s="5">
        <f t="shared" si="10"/>
        <v>-8.4999999999999858</v>
      </c>
    </row>
    <row r="8" spans="1:21">
      <c r="A8">
        <v>0.6</v>
      </c>
      <c r="B8">
        <v>0.6</v>
      </c>
      <c r="C8" s="2">
        <v>0.84852813742385702</v>
      </c>
      <c r="D8" s="4">
        <v>45.000000000000014</v>
      </c>
      <c r="E8">
        <v>90</v>
      </c>
      <c r="F8" s="4">
        <f t="shared" si="0"/>
        <v>44.999999999999986</v>
      </c>
      <c r="G8" s="4">
        <f t="shared" si="1"/>
        <v>45.000000000000014</v>
      </c>
      <c r="H8" s="2">
        <f t="shared" si="4"/>
        <v>0.84852813742385702</v>
      </c>
      <c r="I8">
        <v>3</v>
      </c>
      <c r="J8" s="3">
        <v>519.32795538337314</v>
      </c>
      <c r="K8" s="3">
        <v>762.52802745466681</v>
      </c>
      <c r="L8" s="3">
        <v>54.1</v>
      </c>
      <c r="M8" s="2">
        <f t="shared" si="5"/>
        <v>621.88513688389526</v>
      </c>
      <c r="N8" s="2">
        <f t="shared" si="6"/>
        <v>0.46368567444944031</v>
      </c>
      <c r="O8" s="2">
        <f t="shared" si="7"/>
        <v>0.68082859594166678</v>
      </c>
      <c r="P8" s="2">
        <f t="shared" si="8"/>
        <v>54.1</v>
      </c>
      <c r="Q8" s="2">
        <f t="shared" si="7"/>
        <v>0.55525458650347792</v>
      </c>
      <c r="R8" s="5">
        <f t="shared" si="2"/>
        <v>4.4745413496522057E-2</v>
      </c>
      <c r="S8" s="5">
        <f t="shared" si="3"/>
        <v>0.22719054258426613</v>
      </c>
      <c r="T8" s="5">
        <f t="shared" si="9"/>
        <v>0.19763580497321909</v>
      </c>
      <c r="U8" s="5">
        <f t="shared" si="10"/>
        <v>-9.0999999999999872</v>
      </c>
    </row>
    <row r="9" spans="1:21">
      <c r="A9" s="10">
        <v>0.6</v>
      </c>
      <c r="B9" s="10">
        <v>0.6</v>
      </c>
      <c r="C9" s="12">
        <v>0.84852813742385702</v>
      </c>
      <c r="D9" s="11">
        <v>45.000000000000014</v>
      </c>
      <c r="E9" s="10">
        <v>90</v>
      </c>
      <c r="F9" s="11">
        <f t="shared" si="0"/>
        <v>44.999999999999986</v>
      </c>
      <c r="G9" s="11">
        <f t="shared" si="1"/>
        <v>45.000000000000014</v>
      </c>
      <c r="H9" s="12">
        <f t="shared" si="4"/>
        <v>0.84852813742385702</v>
      </c>
      <c r="I9" s="10">
        <v>5</v>
      </c>
      <c r="J9" s="13">
        <v>491.82206607203221</v>
      </c>
      <c r="K9" s="13">
        <v>727.25964046123761</v>
      </c>
      <c r="L9" s="13">
        <v>56.7</v>
      </c>
      <c r="M9" s="2">
        <f t="shared" si="5"/>
        <v>614.85282626859441</v>
      </c>
      <c r="N9" s="12">
        <f t="shared" si="6"/>
        <v>0.43912684470717156</v>
      </c>
      <c r="O9" s="12">
        <f t="shared" si="7"/>
        <v>0.64933896469753349</v>
      </c>
      <c r="P9" s="12">
        <f t="shared" si="8"/>
        <v>56.7</v>
      </c>
      <c r="Q9" s="12">
        <f t="shared" si="7"/>
        <v>0.54897573773981645</v>
      </c>
      <c r="R9" s="14">
        <f t="shared" si="2"/>
        <v>5.1024262260183528E-2</v>
      </c>
      <c r="S9" s="14">
        <f t="shared" si="3"/>
        <v>0.26812192548804736</v>
      </c>
      <c r="T9" s="14">
        <f t="shared" si="9"/>
        <v>0.23474669128953646</v>
      </c>
      <c r="U9" s="14">
        <f t="shared" si="10"/>
        <v>-11.699999999999989</v>
      </c>
    </row>
    <row r="10" spans="1:21">
      <c r="A10">
        <v>0.6</v>
      </c>
      <c r="B10">
        <v>0.9</v>
      </c>
      <c r="C10" s="2">
        <v>0.48445078585219159</v>
      </c>
      <c r="D10" s="4">
        <v>38.261966199709804</v>
      </c>
      <c r="E10">
        <v>30</v>
      </c>
      <c r="F10" s="4">
        <f t="shared" si="0"/>
        <v>111.7380338002902</v>
      </c>
      <c r="G10" s="4">
        <f t="shared" si="1"/>
        <v>38.261966199709804</v>
      </c>
      <c r="H10" s="2">
        <f t="shared" si="4"/>
        <v>0.48445078585219159</v>
      </c>
      <c r="I10">
        <v>2</v>
      </c>
      <c r="J10" s="3">
        <v>692.40119324002228</v>
      </c>
      <c r="K10" s="3">
        <v>313.36145900178673</v>
      </c>
      <c r="L10" s="3">
        <v>62.7</v>
      </c>
      <c r="M10" s="2">
        <f t="shared" si="5"/>
        <v>615.29402193471276</v>
      </c>
      <c r="N10" s="2">
        <f t="shared" si="6"/>
        <v>0.61821535110716275</v>
      </c>
      <c r="O10" s="2">
        <f t="shared" si="7"/>
        <v>0.27978701696588099</v>
      </c>
      <c r="P10" s="2">
        <f>L10</f>
        <v>62.7</v>
      </c>
      <c r="Q10" s="2">
        <f t="shared" si="7"/>
        <v>0.54936966244170771</v>
      </c>
      <c r="R10" s="5">
        <f t="shared" si="2"/>
        <v>5.0630337558292271E-2</v>
      </c>
      <c r="S10" s="5">
        <f t="shared" si="3"/>
        <v>0.31309405432537474</v>
      </c>
      <c r="T10" s="5">
        <f t="shared" si="9"/>
        <v>0.42246555246326828</v>
      </c>
      <c r="U10" s="5">
        <f>G10-P10</f>
        <v>-24.438033800290199</v>
      </c>
    </row>
    <row r="11" spans="1:21">
      <c r="A11">
        <v>0.6</v>
      </c>
      <c r="B11">
        <v>0.9</v>
      </c>
      <c r="C11" s="2">
        <v>0.48445078585219159</v>
      </c>
      <c r="D11" s="4">
        <v>38.261966199709804</v>
      </c>
      <c r="E11">
        <v>30</v>
      </c>
      <c r="F11" s="4">
        <f t="shared" si="0"/>
        <v>111.7380338002902</v>
      </c>
      <c r="G11" s="4">
        <f t="shared" si="1"/>
        <v>38.261966199709804</v>
      </c>
      <c r="H11" s="2">
        <f t="shared" si="4"/>
        <v>0.48445078585219159</v>
      </c>
      <c r="I11">
        <v>4</v>
      </c>
      <c r="J11" s="3">
        <v>690.97886663843224</v>
      </c>
      <c r="K11" s="3">
        <v>311.02863214216319</v>
      </c>
      <c r="L11" s="3">
        <v>60.6</v>
      </c>
      <c r="M11" s="2">
        <f t="shared" si="5"/>
        <v>602.64933225422703</v>
      </c>
      <c r="N11" s="2">
        <f t="shared" si="6"/>
        <v>0.6169454166414573</v>
      </c>
      <c r="O11" s="2">
        <f t="shared" si="7"/>
        <v>0.27770413584121711</v>
      </c>
      <c r="P11" s="2">
        <f t="shared" si="8"/>
        <v>60.6</v>
      </c>
      <c r="Q11" s="2">
        <f t="shared" si="7"/>
        <v>0.53807976094127408</v>
      </c>
      <c r="R11" s="5">
        <f t="shared" si="2"/>
        <v>6.1920239058725901E-2</v>
      </c>
      <c r="S11" s="5">
        <f t="shared" si="3"/>
        <v>0.314505092620603</v>
      </c>
      <c r="T11" s="5">
        <f t="shared" si="9"/>
        <v>0.42676502144028711</v>
      </c>
      <c r="U11" s="5">
        <f t="shared" si="10"/>
        <v>-22.338033800290198</v>
      </c>
    </row>
    <row r="12" spans="1:21">
      <c r="A12">
        <v>0.6</v>
      </c>
      <c r="B12">
        <v>0.9</v>
      </c>
      <c r="C12" s="2">
        <v>0.48445078585219159</v>
      </c>
      <c r="D12" s="4">
        <v>38.261966199709804</v>
      </c>
      <c r="E12">
        <v>30</v>
      </c>
      <c r="F12" s="4">
        <f t="shared" si="0"/>
        <v>111.7380338002902</v>
      </c>
      <c r="G12" s="4">
        <f t="shared" si="1"/>
        <v>38.261966199709804</v>
      </c>
      <c r="H12" s="2">
        <f t="shared" si="4"/>
        <v>0.48445078585219159</v>
      </c>
      <c r="I12">
        <v>6</v>
      </c>
      <c r="J12" s="3">
        <v>731.06130979585419</v>
      </c>
      <c r="K12" s="3">
        <v>281.1507307958484</v>
      </c>
      <c r="L12" s="3">
        <v>58.6</v>
      </c>
      <c r="M12" s="2">
        <f t="shared" si="5"/>
        <v>631.91880607554333</v>
      </c>
      <c r="N12" s="2">
        <f t="shared" si="6"/>
        <v>0.65273331231772691</v>
      </c>
      <c r="O12" s="2">
        <f t="shared" si="7"/>
        <v>0.25102743821057893</v>
      </c>
      <c r="P12" s="2">
        <f t="shared" si="8"/>
        <v>58.6</v>
      </c>
      <c r="Q12" s="2">
        <f t="shared" si="7"/>
        <v>0.56421321971030647</v>
      </c>
      <c r="R12" s="5">
        <f t="shared" si="2"/>
        <v>3.5786780289693509E-2</v>
      </c>
      <c r="S12" s="5">
        <f t="shared" si="3"/>
        <v>0.27474076409141457</v>
      </c>
      <c r="T12" s="5">
        <f t="shared" si="9"/>
        <v>0.48183087830273708</v>
      </c>
      <c r="U12" s="5">
        <f t="shared" si="10"/>
        <v>-20.338033800290198</v>
      </c>
    </row>
    <row r="13" spans="1:21">
      <c r="A13" s="15">
        <v>0.6</v>
      </c>
      <c r="B13" s="15">
        <v>0.9</v>
      </c>
      <c r="C13" s="17">
        <v>0.79372539331937708</v>
      </c>
      <c r="D13" s="16">
        <v>40.893394649130897</v>
      </c>
      <c r="E13" s="15">
        <v>60</v>
      </c>
      <c r="F13" s="16">
        <f t="shared" si="0"/>
        <v>79.106605350869103</v>
      </c>
      <c r="G13" s="16">
        <f t="shared" si="1"/>
        <v>40.893394649130897</v>
      </c>
      <c r="H13" s="17">
        <f t="shared" si="4"/>
        <v>0.79372539331937708</v>
      </c>
      <c r="I13" s="15">
        <v>2</v>
      </c>
      <c r="J13" s="18">
        <v>738.75230439739164</v>
      </c>
      <c r="K13" s="18">
        <v>670.41440583420058</v>
      </c>
      <c r="L13" s="18">
        <v>51.7</v>
      </c>
      <c r="M13" s="2">
        <f t="shared" si="5"/>
        <v>617.49031457095771</v>
      </c>
      <c r="N13" s="17">
        <f t="shared" si="6"/>
        <v>0.65960027178338532</v>
      </c>
      <c r="O13" s="17">
        <f t="shared" si="7"/>
        <v>0.59858429092339327</v>
      </c>
      <c r="P13" s="17">
        <f t="shared" si="8"/>
        <v>51.7</v>
      </c>
      <c r="Q13" s="17">
        <f t="shared" si="7"/>
        <v>0.55133063800978355</v>
      </c>
      <c r="R13" s="19">
        <f t="shared" si="2"/>
        <v>4.8669361990216431E-2</v>
      </c>
      <c r="S13" s="19">
        <f t="shared" si="3"/>
        <v>0.26711080912957191</v>
      </c>
      <c r="T13" s="19">
        <f t="shared" si="9"/>
        <v>0.24585467976512559</v>
      </c>
      <c r="U13" s="19">
        <f>G13-P13</f>
        <v>-10.806605350869106</v>
      </c>
    </row>
    <row r="14" spans="1:21">
      <c r="A14">
        <v>0.6</v>
      </c>
      <c r="B14">
        <v>0.9</v>
      </c>
      <c r="C14" s="2">
        <v>0.79372539331937708</v>
      </c>
      <c r="D14" s="4">
        <v>40.893394649130897</v>
      </c>
      <c r="E14">
        <v>60</v>
      </c>
      <c r="F14" s="4">
        <f t="shared" si="0"/>
        <v>79.106605350869103</v>
      </c>
      <c r="G14" s="4">
        <f t="shared" si="1"/>
        <v>40.893394649130897</v>
      </c>
      <c r="H14" s="2">
        <f t="shared" si="4"/>
        <v>0.79372539331937708</v>
      </c>
      <c r="I14">
        <v>4</v>
      </c>
      <c r="J14" s="3">
        <v>782.38662376813795</v>
      </c>
      <c r="K14" s="3">
        <v>659.5203642712097</v>
      </c>
      <c r="L14" s="3">
        <v>50.7</v>
      </c>
      <c r="M14" s="2">
        <f t="shared" si="5"/>
        <v>627.25353087286396</v>
      </c>
      <c r="N14" s="2">
        <f t="shared" si="6"/>
        <v>0.69855948550726599</v>
      </c>
      <c r="O14" s="2">
        <f t="shared" si="7"/>
        <v>0.5888574680992944</v>
      </c>
      <c r="P14" s="2">
        <f t="shared" si="8"/>
        <v>50.7</v>
      </c>
      <c r="Q14" s="2">
        <f t="shared" si="7"/>
        <v>0.56004779542219985</v>
      </c>
      <c r="R14" s="5">
        <f t="shared" si="2"/>
        <v>3.9952204577800132E-2</v>
      </c>
      <c r="S14" s="5">
        <f t="shared" si="3"/>
        <v>0.22382279388081558</v>
      </c>
      <c r="T14" s="5">
        <f t="shared" si="9"/>
        <v>0.25810932464100778</v>
      </c>
      <c r="U14" s="5">
        <f t="shared" si="10"/>
        <v>-9.8066053508691056</v>
      </c>
    </row>
    <row r="15" spans="1:21">
      <c r="A15">
        <v>0.6</v>
      </c>
      <c r="B15">
        <v>0.9</v>
      </c>
      <c r="C15" s="2">
        <v>0.79372539331937708</v>
      </c>
      <c r="D15" s="4">
        <v>40.893394649130897</v>
      </c>
      <c r="E15">
        <v>60</v>
      </c>
      <c r="F15" s="4">
        <f t="shared" si="0"/>
        <v>79.106605350869103</v>
      </c>
      <c r="G15" s="4">
        <f t="shared" si="1"/>
        <v>40.893394649130897</v>
      </c>
      <c r="H15" s="2">
        <f t="shared" si="4"/>
        <v>0.79372539331937708</v>
      </c>
      <c r="I15">
        <v>6</v>
      </c>
      <c r="J15" s="3">
        <v>775.59846462990981</v>
      </c>
      <c r="K15" s="3">
        <v>672.54710569713325</v>
      </c>
      <c r="L15" s="3">
        <v>49.9</v>
      </c>
      <c r="M15" s="2">
        <f t="shared" si="5"/>
        <v>617.97141947474483</v>
      </c>
      <c r="N15" s="2">
        <f t="shared" si="6"/>
        <v>0.69249862913384796</v>
      </c>
      <c r="O15" s="2">
        <f t="shared" ref="O15:O38" si="11">K15/1.12/1000</f>
        <v>0.60048848722958315</v>
      </c>
      <c r="P15" s="2">
        <f t="shared" si="8"/>
        <v>49.9</v>
      </c>
      <c r="Q15" s="2">
        <f t="shared" ref="Q15:Q38" si="12">M15/1.12/1000</f>
        <v>0.55176019595959358</v>
      </c>
      <c r="R15" s="5">
        <f t="shared" si="2"/>
        <v>4.8239804040406398E-2</v>
      </c>
      <c r="S15" s="5">
        <f t="shared" si="3"/>
        <v>0.23055707874016895</v>
      </c>
      <c r="T15" s="5">
        <f t="shared" si="9"/>
        <v>0.24345561792054168</v>
      </c>
      <c r="U15" s="5">
        <f t="shared" si="10"/>
        <v>-9.0066053508691013</v>
      </c>
    </row>
    <row r="16" spans="1:21">
      <c r="A16" s="10">
        <v>0.6</v>
      </c>
      <c r="B16" s="10">
        <v>0.9</v>
      </c>
      <c r="C16" s="12">
        <v>0.79372539331937708</v>
      </c>
      <c r="D16" s="11">
        <v>40.893394649130897</v>
      </c>
      <c r="E16" s="10">
        <v>60</v>
      </c>
      <c r="F16" s="11">
        <f t="shared" si="0"/>
        <v>79.106605350869103</v>
      </c>
      <c r="G16" s="11">
        <f t="shared" si="1"/>
        <v>40.893394649130897</v>
      </c>
      <c r="H16" s="12">
        <f t="shared" si="4"/>
        <v>0.79372539331937708</v>
      </c>
      <c r="I16" s="10">
        <v>8</v>
      </c>
      <c r="J16" s="13">
        <v>781.18268497829001</v>
      </c>
      <c r="K16" s="13">
        <v>605.97814007177737</v>
      </c>
      <c r="L16" s="13">
        <v>55</v>
      </c>
      <c r="M16" s="2">
        <f t="shared" si="5"/>
        <v>659.1032472599984</v>
      </c>
      <c r="N16" s="12">
        <f t="shared" si="6"/>
        <v>0.69748454015918737</v>
      </c>
      <c r="O16" s="12">
        <f t="shared" si="11"/>
        <v>0.54105191077837267</v>
      </c>
      <c r="P16" s="12">
        <f t="shared" si="8"/>
        <v>55</v>
      </c>
      <c r="Q16" s="12">
        <f t="shared" si="12"/>
        <v>0.58848504219642717</v>
      </c>
      <c r="R16" s="14">
        <f t="shared" si="2"/>
        <v>1.1514957803572812E-2</v>
      </c>
      <c r="S16" s="14">
        <f t="shared" si="3"/>
        <v>0.22501717760090295</v>
      </c>
      <c r="T16" s="14">
        <f t="shared" si="9"/>
        <v>0.31833866557338975</v>
      </c>
      <c r="U16" s="14">
        <f t="shared" si="10"/>
        <v>-14.106605350869103</v>
      </c>
    </row>
    <row r="17" spans="1:21">
      <c r="A17" s="15">
        <v>0.6</v>
      </c>
      <c r="B17" s="15">
        <v>0.9</v>
      </c>
      <c r="C17" s="17">
        <v>1.0816653826391966</v>
      </c>
      <c r="D17" s="16">
        <v>33.690067525979785</v>
      </c>
      <c r="E17" s="15">
        <v>90</v>
      </c>
      <c r="F17" s="16">
        <f t="shared" si="0"/>
        <v>56.309932474020215</v>
      </c>
      <c r="G17" s="16">
        <f t="shared" si="1"/>
        <v>33.690067525979785</v>
      </c>
      <c r="H17" s="17">
        <f t="shared" si="4"/>
        <v>1.0816653826391966</v>
      </c>
      <c r="I17" s="15">
        <v>1</v>
      </c>
      <c r="J17" s="18">
        <v>711.11094270963451</v>
      </c>
      <c r="K17" s="18">
        <v>955.59793542407431</v>
      </c>
      <c r="L17" s="18">
        <v>40.700000000000003</v>
      </c>
      <c r="M17" s="2">
        <f t="shared" si="5"/>
        <v>623.28710316980323</v>
      </c>
      <c r="N17" s="17">
        <f t="shared" si="6"/>
        <v>0.63492048456217365</v>
      </c>
      <c r="O17" s="17">
        <f t="shared" si="11"/>
        <v>0.85321244234292337</v>
      </c>
      <c r="P17" s="17">
        <f t="shared" si="8"/>
        <v>40.700000000000003</v>
      </c>
      <c r="Q17" s="17">
        <f t="shared" si="12"/>
        <v>0.55650634211589567</v>
      </c>
      <c r="R17" s="19">
        <f t="shared" si="2"/>
        <v>4.3493657884104309E-2</v>
      </c>
      <c r="S17" s="19">
        <f t="shared" si="3"/>
        <v>0.29453279493091816</v>
      </c>
      <c r="T17" s="19">
        <f t="shared" si="9"/>
        <v>0.21120481801762225</v>
      </c>
      <c r="U17" s="19">
        <f t="shared" si="10"/>
        <v>-7.0099324740202178</v>
      </c>
    </row>
    <row r="18" spans="1:21">
      <c r="A18" s="10">
        <v>0.6</v>
      </c>
      <c r="B18" s="10">
        <v>0.9</v>
      </c>
      <c r="C18" s="12">
        <v>1.0816653826391966</v>
      </c>
      <c r="D18" s="11">
        <v>33.690067525979785</v>
      </c>
      <c r="E18" s="10">
        <v>90</v>
      </c>
      <c r="F18" s="11">
        <f t="shared" si="0"/>
        <v>56.309932474020215</v>
      </c>
      <c r="G18" s="11">
        <f t="shared" si="1"/>
        <v>33.690067525979785</v>
      </c>
      <c r="H18" s="12">
        <f t="shared" si="4"/>
        <v>1.0816653826391966</v>
      </c>
      <c r="I18" s="10">
        <v>3</v>
      </c>
      <c r="J18" s="13">
        <v>743.768810062287</v>
      </c>
      <c r="K18" s="13">
        <v>922.68407285278556</v>
      </c>
      <c r="L18" s="13">
        <v>43.9</v>
      </c>
      <c r="M18" s="2">
        <f t="shared" si="5"/>
        <v>644.64090081976747</v>
      </c>
      <c r="N18" s="12">
        <f t="shared" si="6"/>
        <v>0.66407929469847049</v>
      </c>
      <c r="O18" s="12">
        <f t="shared" si="11"/>
        <v>0.82382506504712993</v>
      </c>
      <c r="P18" s="12">
        <f t="shared" si="8"/>
        <v>43.9</v>
      </c>
      <c r="Q18" s="12">
        <f t="shared" si="12"/>
        <v>0.57557223287479231</v>
      </c>
      <c r="R18" s="14">
        <f t="shared" si="2"/>
        <v>2.4427767125207667E-2</v>
      </c>
      <c r="S18" s="14">
        <f t="shared" si="3"/>
        <v>0.26213411700169947</v>
      </c>
      <c r="T18" s="14">
        <f t="shared" si="9"/>
        <v>0.23837345793849138</v>
      </c>
      <c r="U18" s="14">
        <f>G18-P18</f>
        <v>-10.209932474020214</v>
      </c>
    </row>
    <row r="19" spans="1:21">
      <c r="A19" s="15">
        <v>0.9</v>
      </c>
      <c r="B19" s="15">
        <v>0.6</v>
      </c>
      <c r="C19" s="17">
        <v>0.48445078585219159</v>
      </c>
      <c r="D19" s="16">
        <v>111.73803380029017</v>
      </c>
      <c r="E19" s="15">
        <v>30</v>
      </c>
      <c r="F19" s="16">
        <f t="shared" si="0"/>
        <v>38.261966199709839</v>
      </c>
      <c r="G19" s="16">
        <f t="shared" si="1"/>
        <v>111.73803380029017</v>
      </c>
      <c r="H19" s="17">
        <f t="shared" si="4"/>
        <v>0.48445078585219159</v>
      </c>
      <c r="I19" s="15">
        <v>2</v>
      </c>
      <c r="J19" s="18">
        <v>611.48514141285239</v>
      </c>
      <c r="K19" s="18">
        <v>490.35440767405089</v>
      </c>
      <c r="L19" s="18">
        <v>115.6</v>
      </c>
      <c r="M19" s="2">
        <f t="shared" si="5"/>
        <v>934.60073675752778</v>
      </c>
      <c r="N19" s="17">
        <f t="shared" si="6"/>
        <v>0.54596887626147528</v>
      </c>
      <c r="O19" s="17">
        <f t="shared" si="11"/>
        <v>0.43781643542325971</v>
      </c>
      <c r="P19" s="17">
        <f>L19</f>
        <v>115.6</v>
      </c>
      <c r="Q19" s="17">
        <f t="shared" si="12"/>
        <v>0.83446494353350698</v>
      </c>
      <c r="R19" s="19">
        <f t="shared" si="2"/>
        <v>6.5535056466493047E-2</v>
      </c>
      <c r="S19" s="19">
        <f t="shared" si="3"/>
        <v>9.0051872897541171E-2</v>
      </c>
      <c r="T19" s="19">
        <f t="shared" si="9"/>
        <v>9.6262307319613383E-2</v>
      </c>
      <c r="U19" s="19">
        <f t="shared" si="10"/>
        <v>-3.8619661997098262</v>
      </c>
    </row>
    <row r="20" spans="1:21">
      <c r="A20">
        <v>0.9</v>
      </c>
      <c r="B20">
        <v>0.6</v>
      </c>
      <c r="C20" s="2">
        <v>0.48445078585219159</v>
      </c>
      <c r="D20" s="4">
        <v>111.73803380029017</v>
      </c>
      <c r="E20">
        <v>30</v>
      </c>
      <c r="F20" s="4">
        <f t="shared" si="0"/>
        <v>38.261966199709839</v>
      </c>
      <c r="G20" s="4">
        <f t="shared" si="1"/>
        <v>111.73803380029017</v>
      </c>
      <c r="H20" s="2">
        <f t="shared" si="4"/>
        <v>0.48445078585219159</v>
      </c>
      <c r="I20">
        <v>4</v>
      </c>
      <c r="J20" s="3">
        <v>611.46717922786559</v>
      </c>
      <c r="K20" s="3">
        <v>500.97407352525892</v>
      </c>
      <c r="L20" s="3">
        <v>114.2</v>
      </c>
      <c r="M20" s="2">
        <f t="shared" si="5"/>
        <v>935.95401949522375</v>
      </c>
      <c r="N20" s="2">
        <f t="shared" si="6"/>
        <v>0.5459528385963085</v>
      </c>
      <c r="O20" s="2">
        <f t="shared" si="11"/>
        <v>0.44729827993326682</v>
      </c>
      <c r="P20" s="2">
        <f t="shared" si="8"/>
        <v>114.2</v>
      </c>
      <c r="Q20" s="2">
        <f t="shared" si="12"/>
        <v>0.83567323169216401</v>
      </c>
      <c r="R20" s="5">
        <f t="shared" si="2"/>
        <v>6.4326768307836013E-2</v>
      </c>
      <c r="S20" s="5">
        <f t="shared" si="3"/>
        <v>9.0078602339485808E-2</v>
      </c>
      <c r="T20" s="5">
        <f t="shared" si="9"/>
        <v>7.6689948708763556E-2</v>
      </c>
      <c r="U20" s="5">
        <f t="shared" si="10"/>
        <v>-2.4619661997098348</v>
      </c>
    </row>
    <row r="21" spans="1:21">
      <c r="A21" s="10">
        <v>0.9</v>
      </c>
      <c r="B21" s="10">
        <v>0.6</v>
      </c>
      <c r="C21" s="12">
        <v>0.48445078585219159</v>
      </c>
      <c r="D21" s="11">
        <v>111.73803380029017</v>
      </c>
      <c r="E21" s="10">
        <v>30</v>
      </c>
      <c r="F21" s="11">
        <f t="shared" si="0"/>
        <v>38.261966199709839</v>
      </c>
      <c r="G21" s="11">
        <f t="shared" si="1"/>
        <v>111.73803380029017</v>
      </c>
      <c r="H21" s="12">
        <f t="shared" si="4"/>
        <v>0.48445078585219159</v>
      </c>
      <c r="I21" s="10">
        <v>6</v>
      </c>
      <c r="J21" s="13">
        <v>604.22091207465178</v>
      </c>
      <c r="K21" s="13">
        <v>501.67684391017218</v>
      </c>
      <c r="L21" s="13">
        <v>115.1</v>
      </c>
      <c r="M21" s="2">
        <f t="shared" si="5"/>
        <v>934.84346961706035</v>
      </c>
      <c r="N21" s="12">
        <f t="shared" si="6"/>
        <v>0.53948295720951045</v>
      </c>
      <c r="O21" s="12">
        <f t="shared" si="11"/>
        <v>0.4479257534912251</v>
      </c>
      <c r="P21" s="12">
        <f t="shared" si="8"/>
        <v>115.1</v>
      </c>
      <c r="Q21" s="12">
        <f t="shared" si="12"/>
        <v>0.83468166930094667</v>
      </c>
      <c r="R21" s="14">
        <f t="shared" si="2"/>
        <v>6.5318330699053351E-2</v>
      </c>
      <c r="S21" s="14">
        <f t="shared" si="3"/>
        <v>0.10086173798414921</v>
      </c>
      <c r="T21" s="14">
        <f t="shared" si="9"/>
        <v>7.5394722080418849E-2</v>
      </c>
      <c r="U21" s="14">
        <f t="shared" si="10"/>
        <v>-3.3619661997098262</v>
      </c>
    </row>
    <row r="22" spans="1:21">
      <c r="A22" s="15">
        <v>0.9</v>
      </c>
      <c r="B22" s="15">
        <v>0.6</v>
      </c>
      <c r="C22" s="17">
        <v>0.79372539331937708</v>
      </c>
      <c r="D22" s="16">
        <v>79.106605350869103</v>
      </c>
      <c r="E22" s="15">
        <v>60</v>
      </c>
      <c r="F22" s="16">
        <f t="shared" si="0"/>
        <v>40.893394649130897</v>
      </c>
      <c r="G22" s="16">
        <f t="shared" si="1"/>
        <v>79.106605350869103</v>
      </c>
      <c r="H22" s="17">
        <f t="shared" si="4"/>
        <v>0.79372539331937708</v>
      </c>
      <c r="I22" s="15">
        <v>2</v>
      </c>
      <c r="J22" s="18">
        <v>592.82232789835393</v>
      </c>
      <c r="K22" s="18">
        <v>786.53802957368021</v>
      </c>
      <c r="L22" s="18">
        <v>86.1</v>
      </c>
      <c r="M22" s="2">
        <f t="shared" si="5"/>
        <v>952.18297163340901</v>
      </c>
      <c r="N22" s="17">
        <f t="shared" si="6"/>
        <v>0.52930564990924445</v>
      </c>
      <c r="O22" s="17">
        <f t="shared" si="11"/>
        <v>0.70226609783364302</v>
      </c>
      <c r="P22" s="17">
        <f t="shared" si="8"/>
        <v>86.1</v>
      </c>
      <c r="Q22" s="17">
        <f t="shared" si="12"/>
        <v>0.85016336752982946</v>
      </c>
      <c r="R22" s="19">
        <f t="shared" si="2"/>
        <v>4.9836632470170561E-2</v>
      </c>
      <c r="S22" s="19">
        <f t="shared" si="3"/>
        <v>0.11782391681792589</v>
      </c>
      <c r="T22" s="19">
        <f t="shared" si="9"/>
        <v>0.11522788140020224</v>
      </c>
      <c r="U22" s="19">
        <f t="shared" si="10"/>
        <v>-6.9933946491308916</v>
      </c>
    </row>
    <row r="23" spans="1:21">
      <c r="A23">
        <v>0.9</v>
      </c>
      <c r="B23">
        <v>0.6</v>
      </c>
      <c r="C23" s="2">
        <v>0.79372539331937708</v>
      </c>
      <c r="D23" s="4">
        <v>79.106605350869103</v>
      </c>
      <c r="E23">
        <v>60</v>
      </c>
      <c r="F23" s="4">
        <f t="shared" si="0"/>
        <v>40.893394649130897</v>
      </c>
      <c r="G23" s="4">
        <f t="shared" si="1"/>
        <v>79.106605350869103</v>
      </c>
      <c r="H23" s="2">
        <f t="shared" si="4"/>
        <v>0.79372539331937708</v>
      </c>
      <c r="I23">
        <v>4</v>
      </c>
      <c r="J23" s="3">
        <v>593.42696084155261</v>
      </c>
      <c r="K23" s="3">
        <v>793.46027597668785</v>
      </c>
      <c r="L23" s="3">
        <v>83.5</v>
      </c>
      <c r="M23" s="2">
        <f t="shared" si="5"/>
        <v>935.48323015275321</v>
      </c>
      <c r="N23" s="2">
        <f t="shared" si="6"/>
        <v>0.52984550075138626</v>
      </c>
      <c r="O23" s="2">
        <f t="shared" si="11"/>
        <v>0.70844667497918556</v>
      </c>
      <c r="P23" s="2">
        <f t="shared" si="8"/>
        <v>83.5</v>
      </c>
      <c r="Q23" s="2">
        <f t="shared" si="12"/>
        <v>0.83525288406495812</v>
      </c>
      <c r="R23" s="5">
        <f t="shared" si="2"/>
        <v>6.4747115935041899E-2</v>
      </c>
      <c r="S23" s="5">
        <f t="shared" si="3"/>
        <v>0.11692416541435621</v>
      </c>
      <c r="T23" s="5">
        <f t="shared" si="9"/>
        <v>0.10744108612117603</v>
      </c>
      <c r="U23" s="5">
        <f t="shared" si="10"/>
        <v>-4.3933946491308973</v>
      </c>
    </row>
    <row r="24" spans="1:21">
      <c r="A24">
        <v>0.9</v>
      </c>
      <c r="B24">
        <v>0.6</v>
      </c>
      <c r="C24" s="2">
        <v>0.79372539331937708</v>
      </c>
      <c r="D24" s="4">
        <v>79.106605350869103</v>
      </c>
      <c r="E24">
        <v>60</v>
      </c>
      <c r="F24" s="4">
        <f t="shared" si="0"/>
        <v>40.893394649130897</v>
      </c>
      <c r="G24" s="4">
        <f t="shared" si="1"/>
        <v>79.106605350869103</v>
      </c>
      <c r="H24" s="2">
        <f t="shared" si="4"/>
        <v>0.79372539331937708</v>
      </c>
      <c r="I24">
        <v>6</v>
      </c>
      <c r="J24" s="3">
        <v>588.02746593315362</v>
      </c>
      <c r="K24" s="3">
        <v>784.49337270400281</v>
      </c>
      <c r="L24" s="3">
        <v>84.6</v>
      </c>
      <c r="M24" s="2">
        <f t="shared" si="5"/>
        <v>935.08349127301619</v>
      </c>
      <c r="N24" s="2">
        <f t="shared" si="6"/>
        <v>0.52502452315460146</v>
      </c>
      <c r="O24" s="2">
        <f t="shared" si="11"/>
        <v>0.70044051134285967</v>
      </c>
      <c r="P24" s="2">
        <f t="shared" si="8"/>
        <v>84.6</v>
      </c>
      <c r="Q24" s="2">
        <f t="shared" si="12"/>
        <v>0.83489597435090723</v>
      </c>
      <c r="R24" s="5">
        <f t="shared" si="2"/>
        <v>6.5104025649092789E-2</v>
      </c>
      <c r="S24" s="5">
        <f t="shared" si="3"/>
        <v>0.1249591280756642</v>
      </c>
      <c r="T24" s="5">
        <f t="shared" si="9"/>
        <v>0.11752790418660788</v>
      </c>
      <c r="U24" s="5">
        <f t="shared" si="10"/>
        <v>-5.4933946491308916</v>
      </c>
    </row>
    <row r="25" spans="1:21">
      <c r="A25" s="10">
        <v>0.9</v>
      </c>
      <c r="B25" s="10">
        <v>0.6</v>
      </c>
      <c r="C25" s="12">
        <v>0.79372539331937708</v>
      </c>
      <c r="D25" s="11">
        <v>79.106605350869103</v>
      </c>
      <c r="E25" s="10">
        <v>60</v>
      </c>
      <c r="F25" s="11">
        <f t="shared" si="0"/>
        <v>40.893394649130897</v>
      </c>
      <c r="G25" s="11">
        <f t="shared" si="1"/>
        <v>79.106605350869103</v>
      </c>
      <c r="H25" s="12">
        <f t="shared" si="4"/>
        <v>0.79372539331937708</v>
      </c>
      <c r="I25" s="10">
        <v>8</v>
      </c>
      <c r="J25" s="13">
        <v>588.910630706544</v>
      </c>
      <c r="K25" s="13">
        <v>782.68674268729126</v>
      </c>
      <c r="L25" s="13">
        <v>84.7</v>
      </c>
      <c r="M25" s="2">
        <f t="shared" si="5"/>
        <v>935.01927709823133</v>
      </c>
      <c r="N25" s="12">
        <f t="shared" si="6"/>
        <v>0.52581306313084286</v>
      </c>
      <c r="O25" s="12">
        <f t="shared" si="11"/>
        <v>0.69882744882793857</v>
      </c>
      <c r="P25" s="12">
        <f t="shared" si="8"/>
        <v>84.7</v>
      </c>
      <c r="Q25" s="12">
        <f t="shared" si="12"/>
        <v>0.83483864026627796</v>
      </c>
      <c r="R25" s="14">
        <f t="shared" si="2"/>
        <v>6.5161359733722057E-2</v>
      </c>
      <c r="S25" s="14">
        <f t="shared" si="3"/>
        <v>0.12364489478192853</v>
      </c>
      <c r="T25" s="14">
        <f t="shared" si="9"/>
        <v>0.11956017193121819</v>
      </c>
      <c r="U25" s="14">
        <f t="shared" si="10"/>
        <v>-5.5933946491309001</v>
      </c>
    </row>
    <row r="26" spans="1:21">
      <c r="A26" s="15">
        <v>0.9</v>
      </c>
      <c r="B26" s="15">
        <v>0.6</v>
      </c>
      <c r="C26" s="17">
        <v>1.0816653826391966</v>
      </c>
      <c r="D26" s="16">
        <v>56.309932474020208</v>
      </c>
      <c r="E26" s="15">
        <v>90</v>
      </c>
      <c r="F26" s="16">
        <f t="shared" si="0"/>
        <v>33.690067525979792</v>
      </c>
      <c r="G26" s="16">
        <f t="shared" si="1"/>
        <v>56.309932474020208</v>
      </c>
      <c r="H26" s="17">
        <f t="shared" si="4"/>
        <v>1.0816653826391966</v>
      </c>
      <c r="I26" s="15">
        <v>1</v>
      </c>
      <c r="J26" s="18">
        <v>562.37292412668842</v>
      </c>
      <c r="K26" s="18">
        <v>1020.51175541957</v>
      </c>
      <c r="L26" s="18">
        <v>66</v>
      </c>
      <c r="M26" s="2">
        <f t="shared" si="5"/>
        <v>943.84775022546216</v>
      </c>
      <c r="N26" s="17">
        <f t="shared" si="6"/>
        <v>0.50211868225597178</v>
      </c>
      <c r="O26" s="17">
        <f t="shared" si="11"/>
        <v>0.91117121019604463</v>
      </c>
      <c r="P26" s="17">
        <f t="shared" si="8"/>
        <v>66</v>
      </c>
      <c r="Q26" s="17">
        <f t="shared" si="12"/>
        <v>0.84272120555844832</v>
      </c>
      <c r="R26" s="19">
        <f t="shared" si="2"/>
        <v>5.7278794441551706E-2</v>
      </c>
      <c r="S26" s="19">
        <f t="shared" si="3"/>
        <v>0.16313552957338034</v>
      </c>
      <c r="T26" s="19">
        <f t="shared" si="9"/>
        <v>0.15762191818245747</v>
      </c>
      <c r="U26" s="19">
        <f t="shared" si="10"/>
        <v>-9.6900675259797922</v>
      </c>
    </row>
    <row r="27" spans="1:21">
      <c r="A27">
        <v>0.9</v>
      </c>
      <c r="B27">
        <v>0.6</v>
      </c>
      <c r="C27" s="2">
        <v>1.0816653826391966</v>
      </c>
      <c r="D27" s="4">
        <v>56.309932474020208</v>
      </c>
      <c r="E27">
        <v>90</v>
      </c>
      <c r="F27" s="4">
        <f t="shared" si="0"/>
        <v>33.690067525979792</v>
      </c>
      <c r="G27" s="4">
        <f t="shared" si="1"/>
        <v>56.309932474020208</v>
      </c>
      <c r="H27" s="2">
        <f t="shared" si="4"/>
        <v>1.0816653826391966</v>
      </c>
      <c r="I27">
        <v>3</v>
      </c>
      <c r="J27" s="3">
        <v>549.19448888180887</v>
      </c>
      <c r="K27" s="3">
        <v>1042.509436631562</v>
      </c>
      <c r="L27" s="3">
        <v>64.5</v>
      </c>
      <c r="M27" s="2">
        <f t="shared" si="5"/>
        <v>946.29302486453446</v>
      </c>
      <c r="N27" s="2">
        <f t="shared" si="6"/>
        <v>0.49035222221590075</v>
      </c>
      <c r="O27" s="2">
        <f t="shared" si="11"/>
        <v>0.93081199699246597</v>
      </c>
      <c r="P27" s="2">
        <f t="shared" si="8"/>
        <v>64.5</v>
      </c>
      <c r="Q27" s="2">
        <f t="shared" si="12"/>
        <v>0.84490448648619143</v>
      </c>
      <c r="R27" s="5">
        <f t="shared" si="2"/>
        <v>5.5095513513808592E-2</v>
      </c>
      <c r="S27" s="5">
        <f t="shared" si="3"/>
        <v>0.18274629630683206</v>
      </c>
      <c r="T27" s="5">
        <f t="shared" si="9"/>
        <v>0.13946400436580281</v>
      </c>
      <c r="U27" s="5">
        <f t="shared" si="10"/>
        <v>-8.1900675259797922</v>
      </c>
    </row>
    <row r="28" spans="1:21">
      <c r="A28">
        <v>0.9</v>
      </c>
      <c r="B28">
        <v>0.6</v>
      </c>
      <c r="C28" s="2">
        <v>1.0816653826391966</v>
      </c>
      <c r="D28" s="4">
        <v>56.309932474020208</v>
      </c>
      <c r="E28">
        <v>90</v>
      </c>
      <c r="F28" s="4">
        <f t="shared" si="0"/>
        <v>33.690067525979792</v>
      </c>
      <c r="G28" s="4">
        <f t="shared" si="1"/>
        <v>56.309932474020208</v>
      </c>
      <c r="H28" s="2">
        <f t="shared" si="4"/>
        <v>1.0816653826391966</v>
      </c>
      <c r="I28">
        <v>5</v>
      </c>
      <c r="J28" s="3">
        <v>549.10266263220012</v>
      </c>
      <c r="K28" s="3">
        <v>1078.080776288577</v>
      </c>
      <c r="L28" s="3">
        <v>62.5</v>
      </c>
      <c r="M28" s="2">
        <f t="shared" si="5"/>
        <v>957.64437751325022</v>
      </c>
      <c r="N28" s="2">
        <f t="shared" si="6"/>
        <v>0.49027023449303581</v>
      </c>
      <c r="O28" s="2">
        <f t="shared" si="11"/>
        <v>0.96257212168622941</v>
      </c>
      <c r="P28" s="2">
        <f t="shared" si="8"/>
        <v>62.5</v>
      </c>
      <c r="Q28" s="2">
        <f t="shared" si="12"/>
        <v>0.8550396227796877</v>
      </c>
      <c r="R28" s="5">
        <f t="shared" si="2"/>
        <v>4.496037722031232E-2</v>
      </c>
      <c r="S28" s="5">
        <f t="shared" si="3"/>
        <v>0.18288294251160697</v>
      </c>
      <c r="T28" s="5">
        <f t="shared" si="9"/>
        <v>0.11010175869952225</v>
      </c>
      <c r="U28" s="5">
        <f t="shared" si="10"/>
        <v>-6.1900675259797922</v>
      </c>
    </row>
    <row r="29" spans="1:21">
      <c r="A29" s="10">
        <v>0.9</v>
      </c>
      <c r="B29" s="10">
        <v>0.6</v>
      </c>
      <c r="C29" s="12">
        <v>1.0816653826391966</v>
      </c>
      <c r="D29" s="11">
        <v>56.309932474020208</v>
      </c>
      <c r="E29" s="10">
        <v>90</v>
      </c>
      <c r="F29" s="11">
        <f t="shared" si="0"/>
        <v>33.690067525979792</v>
      </c>
      <c r="G29" s="11">
        <f t="shared" si="1"/>
        <v>56.309932474020208</v>
      </c>
      <c r="H29" s="12">
        <f t="shared" si="4"/>
        <v>1.0816653826391966</v>
      </c>
      <c r="I29" s="10">
        <v>7</v>
      </c>
      <c r="J29" s="13">
        <v>545.3356313659159</v>
      </c>
      <c r="K29" s="13">
        <v>1084.47123322776</v>
      </c>
      <c r="L29" s="13">
        <v>58.1</v>
      </c>
      <c r="M29" s="2">
        <f t="shared" si="5"/>
        <v>921.10319388698247</v>
      </c>
      <c r="N29" s="12">
        <f t="shared" si="6"/>
        <v>0.48690681371956773</v>
      </c>
      <c r="O29" s="12">
        <f t="shared" si="11"/>
        <v>0.96827788681049998</v>
      </c>
      <c r="P29" s="12">
        <f t="shared" si="8"/>
        <v>58.1</v>
      </c>
      <c r="Q29" s="12">
        <f t="shared" si="12"/>
        <v>0.82241356597051996</v>
      </c>
      <c r="R29" s="14">
        <f t="shared" si="2"/>
        <v>7.7586434029480067E-2</v>
      </c>
      <c r="S29" s="14">
        <f t="shared" si="3"/>
        <v>0.18848864380072042</v>
      </c>
      <c r="T29" s="14">
        <f t="shared" si="9"/>
        <v>0.104826776976109</v>
      </c>
      <c r="U29" s="14">
        <f t="shared" si="10"/>
        <v>-1.7900675259797936</v>
      </c>
    </row>
    <row r="30" spans="1:21">
      <c r="A30" s="15">
        <v>0.9</v>
      </c>
      <c r="B30" s="15">
        <v>0.9</v>
      </c>
      <c r="C30" s="17">
        <v>0.46587428118453739</v>
      </c>
      <c r="D30" s="16">
        <v>75.000000000000014</v>
      </c>
      <c r="E30" s="15">
        <v>30</v>
      </c>
      <c r="F30" s="16">
        <f t="shared" si="0"/>
        <v>74.999999999999986</v>
      </c>
      <c r="G30" s="16">
        <f t="shared" si="1"/>
        <v>75.000000000000014</v>
      </c>
      <c r="H30" s="17">
        <f t="shared" si="4"/>
        <v>0.46587428118453739</v>
      </c>
      <c r="I30" s="15">
        <v>2</v>
      </c>
      <c r="J30" s="18">
        <v>895.07877010193749</v>
      </c>
      <c r="K30" s="18">
        <v>461.15847630915732</v>
      </c>
      <c r="L30" s="18">
        <v>80</v>
      </c>
      <c r="M30" s="2">
        <f t="shared" si="5"/>
        <v>932.99438920461296</v>
      </c>
      <c r="N30" s="17">
        <f t="shared" si="6"/>
        <v>0.79917747330530131</v>
      </c>
      <c r="O30" s="17">
        <f t="shared" si="11"/>
        <v>0.41174863956174756</v>
      </c>
      <c r="P30" s="17">
        <f t="shared" si="8"/>
        <v>80</v>
      </c>
      <c r="Q30" s="17">
        <f t="shared" si="12"/>
        <v>0.83303070464697582</v>
      </c>
      <c r="R30" s="19">
        <f t="shared" si="2"/>
        <v>6.6969295353024205E-2</v>
      </c>
      <c r="S30" s="19">
        <f t="shared" si="3"/>
        <v>0.11202502966077635</v>
      </c>
      <c r="T30" s="19">
        <f t="shared" si="9"/>
        <v>0.11618078912870942</v>
      </c>
      <c r="U30" s="19">
        <f t="shared" si="10"/>
        <v>-4.9999999999999858</v>
      </c>
    </row>
    <row r="31" spans="1:21">
      <c r="A31">
        <v>0.9</v>
      </c>
      <c r="B31">
        <v>0.9</v>
      </c>
      <c r="C31" s="2">
        <v>0.46587428118453739</v>
      </c>
      <c r="D31" s="4">
        <v>75.000000000000014</v>
      </c>
      <c r="E31">
        <v>30</v>
      </c>
      <c r="F31" s="4">
        <f t="shared" si="0"/>
        <v>74.999999999999986</v>
      </c>
      <c r="G31" s="4">
        <f t="shared" si="1"/>
        <v>75.000000000000014</v>
      </c>
      <c r="H31" s="2">
        <f t="shared" si="4"/>
        <v>0.46587428118453739</v>
      </c>
      <c r="I31">
        <v>4</v>
      </c>
      <c r="J31" s="3">
        <v>890.06136742765659</v>
      </c>
      <c r="K31" s="3">
        <v>441.01623342257722</v>
      </c>
      <c r="L31" s="3">
        <v>83.6</v>
      </c>
      <c r="M31" s="2">
        <f t="shared" si="5"/>
        <v>948.25862452128206</v>
      </c>
      <c r="N31" s="2">
        <f t="shared" si="6"/>
        <v>0.79469764948897903</v>
      </c>
      <c r="O31" s="2">
        <f t="shared" si="11"/>
        <v>0.39376449412730102</v>
      </c>
      <c r="P31" s="2">
        <f t="shared" si="8"/>
        <v>83.6</v>
      </c>
      <c r="Q31" s="2">
        <f t="shared" si="12"/>
        <v>0.84665948617971609</v>
      </c>
      <c r="R31" s="5">
        <f t="shared" si="2"/>
        <v>5.334051382028393E-2</v>
      </c>
      <c r="S31" s="5">
        <f t="shared" si="3"/>
        <v>0.11700261167891221</v>
      </c>
      <c r="T31" s="5">
        <f t="shared" si="9"/>
        <v>0.15478379032619954</v>
      </c>
      <c r="U31" s="5">
        <f t="shared" si="10"/>
        <v>-8.5999999999999801</v>
      </c>
    </row>
    <row r="32" spans="1:21">
      <c r="A32" s="10">
        <v>0.9</v>
      </c>
      <c r="B32" s="10">
        <v>0.9</v>
      </c>
      <c r="C32" s="12">
        <v>0.46587428118453739</v>
      </c>
      <c r="D32" s="11">
        <v>75.000000000000014</v>
      </c>
      <c r="E32" s="10">
        <v>30</v>
      </c>
      <c r="F32" s="11">
        <f t="shared" si="0"/>
        <v>74.999999999999986</v>
      </c>
      <c r="G32" s="11">
        <f t="shared" si="1"/>
        <v>75.000000000000014</v>
      </c>
      <c r="H32" s="12">
        <f t="shared" si="4"/>
        <v>0.46587428118453739</v>
      </c>
      <c r="I32" s="10">
        <v>6</v>
      </c>
      <c r="J32" s="13">
        <v>874.29574128126092</v>
      </c>
      <c r="K32" s="13">
        <v>454.21359652181548</v>
      </c>
      <c r="L32" s="13">
        <v>81.7</v>
      </c>
      <c r="M32" s="2">
        <f t="shared" si="5"/>
        <v>925.22993237802552</v>
      </c>
      <c r="N32" s="12">
        <f t="shared" si="6"/>
        <v>0.78062119757255433</v>
      </c>
      <c r="O32" s="12">
        <f t="shared" si="11"/>
        <v>0.40554785403733518</v>
      </c>
      <c r="P32" s="12">
        <f t="shared" si="8"/>
        <v>81.7</v>
      </c>
      <c r="Q32" s="12">
        <f t="shared" si="12"/>
        <v>0.82609815390895125</v>
      </c>
      <c r="R32" s="14">
        <f t="shared" si="2"/>
        <v>7.3901846091048773E-2</v>
      </c>
      <c r="S32" s="14">
        <f t="shared" si="3"/>
        <v>0.13264311380827298</v>
      </c>
      <c r="T32" s="14">
        <f t="shared" si="9"/>
        <v>0.12949078664273017</v>
      </c>
      <c r="U32" s="14">
        <f t="shared" si="10"/>
        <v>-6.6999999999999886</v>
      </c>
    </row>
    <row r="33" spans="1:21">
      <c r="A33" s="15">
        <v>0.9</v>
      </c>
      <c r="B33" s="15">
        <v>0.9</v>
      </c>
      <c r="C33" s="17">
        <v>0.89999999999999991</v>
      </c>
      <c r="D33" s="16">
        <v>59.999999999999993</v>
      </c>
      <c r="E33" s="15">
        <v>60</v>
      </c>
      <c r="F33" s="16">
        <f t="shared" si="0"/>
        <v>60.000000000000007</v>
      </c>
      <c r="G33" s="16">
        <f t="shared" si="1"/>
        <v>59.999999999999993</v>
      </c>
      <c r="H33" s="17">
        <f t="shared" si="4"/>
        <v>0.89999999999999991</v>
      </c>
      <c r="I33" s="15">
        <v>1</v>
      </c>
      <c r="J33" s="18">
        <v>849.96404426695233</v>
      </c>
      <c r="K33" s="18">
        <v>870.72800223409945</v>
      </c>
      <c r="L33" s="18">
        <v>65.900000000000006</v>
      </c>
      <c r="M33" s="2">
        <f t="shared" si="5"/>
        <v>936.05854300569467</v>
      </c>
      <c r="N33" s="17">
        <f t="shared" si="6"/>
        <v>0.75889646809549316</v>
      </c>
      <c r="O33" s="17">
        <f t="shared" si="11"/>
        <v>0.77743571628044583</v>
      </c>
      <c r="P33" s="17">
        <f t="shared" si="8"/>
        <v>65.900000000000006</v>
      </c>
      <c r="Q33" s="17">
        <f t="shared" si="12"/>
        <v>0.83576655625508445</v>
      </c>
      <c r="R33" s="19">
        <f t="shared" si="2"/>
        <v>6.4233443744915575E-2</v>
      </c>
      <c r="S33" s="19">
        <f t="shared" si="3"/>
        <v>0.15678170211611872</v>
      </c>
      <c r="T33" s="19">
        <f t="shared" si="9"/>
        <v>0.13618253746617121</v>
      </c>
      <c r="U33" s="19">
        <f t="shared" si="10"/>
        <v>-5.9000000000000128</v>
      </c>
    </row>
    <row r="34" spans="1:21">
      <c r="A34">
        <v>0.9</v>
      </c>
      <c r="B34">
        <v>0.9</v>
      </c>
      <c r="C34" s="2">
        <v>0.89999999999999991</v>
      </c>
      <c r="D34" s="4">
        <v>59.999999999999993</v>
      </c>
      <c r="E34">
        <v>60</v>
      </c>
      <c r="F34" s="4">
        <f t="shared" si="0"/>
        <v>60.000000000000007</v>
      </c>
      <c r="G34" s="4">
        <f t="shared" si="1"/>
        <v>59.999999999999993</v>
      </c>
      <c r="H34" s="2">
        <f t="shared" si="4"/>
        <v>0.89999999999999991</v>
      </c>
      <c r="I34">
        <v>3</v>
      </c>
      <c r="J34" s="3">
        <v>885.84154862858304</v>
      </c>
      <c r="K34" s="3">
        <v>873.08454178528518</v>
      </c>
      <c r="L34" s="3">
        <v>64.900000000000006</v>
      </c>
      <c r="M34" s="2">
        <f t="shared" si="5"/>
        <v>943.83676788072637</v>
      </c>
      <c r="N34" s="2">
        <f t="shared" si="6"/>
        <v>0.79092995413266343</v>
      </c>
      <c r="O34" s="2">
        <f t="shared" si="11"/>
        <v>0.77953976945114745</v>
      </c>
      <c r="P34" s="2">
        <f t="shared" si="8"/>
        <v>64.900000000000006</v>
      </c>
      <c r="Q34" s="2">
        <f t="shared" si="12"/>
        <v>0.84271139989350563</v>
      </c>
      <c r="R34" s="5">
        <f t="shared" si="2"/>
        <v>5.7288600106494392E-2</v>
      </c>
      <c r="S34" s="5">
        <f t="shared" si="3"/>
        <v>0.12118893985259621</v>
      </c>
      <c r="T34" s="5">
        <f t="shared" si="9"/>
        <v>0.13384470060983608</v>
      </c>
      <c r="U34" s="5">
        <f t="shared" si="10"/>
        <v>-4.9000000000000128</v>
      </c>
    </row>
    <row r="35" spans="1:21">
      <c r="A35">
        <v>0.9</v>
      </c>
      <c r="B35">
        <v>0.9</v>
      </c>
      <c r="C35" s="2">
        <v>0.89999999999999991</v>
      </c>
      <c r="D35" s="4">
        <v>59.999999999999993</v>
      </c>
      <c r="E35">
        <v>60</v>
      </c>
      <c r="F35" s="4">
        <f t="shared" si="0"/>
        <v>60.000000000000007</v>
      </c>
      <c r="G35" s="4">
        <f t="shared" si="1"/>
        <v>59.999999999999993</v>
      </c>
      <c r="H35" s="2">
        <f t="shared" si="4"/>
        <v>0.89999999999999991</v>
      </c>
      <c r="I35">
        <v>5</v>
      </c>
      <c r="J35" s="3">
        <v>865.92710909977643</v>
      </c>
      <c r="K35" s="3">
        <v>871.39411402355461</v>
      </c>
      <c r="L35" s="3">
        <v>65</v>
      </c>
      <c r="M35" s="2">
        <f t="shared" si="5"/>
        <v>933.47340024708967</v>
      </c>
      <c r="N35" s="2">
        <f t="shared" si="6"/>
        <v>0.77314920455337177</v>
      </c>
      <c r="O35" s="2">
        <f t="shared" si="11"/>
        <v>0.77803045894960221</v>
      </c>
      <c r="P35" s="2">
        <f t="shared" si="8"/>
        <v>65</v>
      </c>
      <c r="Q35" s="2">
        <f t="shared" si="12"/>
        <v>0.83345839307775849</v>
      </c>
      <c r="R35" s="5">
        <f t="shared" si="2"/>
        <v>6.6541606922241536E-2</v>
      </c>
      <c r="S35" s="5">
        <f t="shared" si="3"/>
        <v>0.14094532827403139</v>
      </c>
      <c r="T35" s="5">
        <f t="shared" si="9"/>
        <v>0.13552171227821969</v>
      </c>
      <c r="U35" s="5">
        <f t="shared" si="10"/>
        <v>-5.0000000000000071</v>
      </c>
    </row>
    <row r="36" spans="1:21">
      <c r="A36" s="10">
        <v>0.9</v>
      </c>
      <c r="B36" s="10">
        <v>0.9</v>
      </c>
      <c r="C36" s="12">
        <v>0.89999999999999991</v>
      </c>
      <c r="D36" s="11">
        <v>59.999999999999993</v>
      </c>
      <c r="E36" s="10">
        <v>60</v>
      </c>
      <c r="F36" s="11">
        <f t="shared" si="0"/>
        <v>60.000000000000007</v>
      </c>
      <c r="G36" s="11">
        <f t="shared" si="1"/>
        <v>59.999999999999993</v>
      </c>
      <c r="H36" s="12">
        <f t="shared" si="4"/>
        <v>0.89999999999999991</v>
      </c>
      <c r="I36" s="10">
        <v>7</v>
      </c>
      <c r="J36" s="13">
        <v>884.3358682930849</v>
      </c>
      <c r="K36" s="13">
        <v>874.0783992891802</v>
      </c>
      <c r="L36" s="13">
        <v>64.2</v>
      </c>
      <c r="M36" s="2">
        <f t="shared" si="5"/>
        <v>934.45924492127267</v>
      </c>
      <c r="N36" s="12">
        <f t="shared" si="6"/>
        <v>0.7895855966902543</v>
      </c>
      <c r="O36" s="12">
        <f t="shared" si="11"/>
        <v>0.78042714222248222</v>
      </c>
      <c r="P36" s="12">
        <f t="shared" si="8"/>
        <v>64.2</v>
      </c>
      <c r="Q36" s="12">
        <f t="shared" si="12"/>
        <v>0.83433861153685052</v>
      </c>
      <c r="R36" s="14">
        <f t="shared" si="2"/>
        <v>6.5661388463149506E-2</v>
      </c>
      <c r="S36" s="14">
        <f t="shared" si="3"/>
        <v>0.12268267034416191</v>
      </c>
      <c r="T36" s="14">
        <f t="shared" si="9"/>
        <v>0.13285873086390856</v>
      </c>
      <c r="U36" s="14">
        <f t="shared" si="10"/>
        <v>-4.2000000000000099</v>
      </c>
    </row>
    <row r="37" spans="1:21">
      <c r="A37" s="15">
        <v>0.9</v>
      </c>
      <c r="B37" s="15">
        <v>0.9</v>
      </c>
      <c r="C37" s="17">
        <v>1.2727922061357855</v>
      </c>
      <c r="D37" s="16">
        <v>44.999999999999979</v>
      </c>
      <c r="E37" s="15">
        <v>90</v>
      </c>
      <c r="F37" s="16">
        <f t="shared" si="0"/>
        <v>45.000000000000021</v>
      </c>
      <c r="G37" s="16">
        <f t="shared" si="1"/>
        <v>44.999999999999979</v>
      </c>
      <c r="H37" s="17">
        <f t="shared" si="4"/>
        <v>1.2727922061357855</v>
      </c>
      <c r="I37" s="15">
        <v>1</v>
      </c>
      <c r="J37" s="18">
        <v>848.05387665723606</v>
      </c>
      <c r="K37" s="18">
        <v>1216.1908231724531</v>
      </c>
      <c r="L37" s="18">
        <v>50.7</v>
      </c>
      <c r="M37" s="2">
        <f t="shared" si="5"/>
        <v>944.34280436905249</v>
      </c>
      <c r="N37" s="17">
        <f t="shared" si="6"/>
        <v>0.75719096130110364</v>
      </c>
      <c r="O37" s="17">
        <f t="shared" si="11"/>
        <v>1.0858846635468331</v>
      </c>
      <c r="P37" s="17">
        <f t="shared" si="8"/>
        <v>50.7</v>
      </c>
      <c r="Q37" s="17">
        <f t="shared" si="12"/>
        <v>0.84316321818665396</v>
      </c>
      <c r="R37" s="19">
        <f t="shared" si="2"/>
        <v>5.683678181334606E-2</v>
      </c>
      <c r="S37" s="19">
        <f t="shared" si="3"/>
        <v>0.15867670966544042</v>
      </c>
      <c r="T37" s="19">
        <f t="shared" si="9"/>
        <v>0.14684843424395741</v>
      </c>
      <c r="U37" s="19">
        <f t="shared" si="10"/>
        <v>-5.7000000000000242</v>
      </c>
    </row>
    <row r="38" spans="1:21">
      <c r="A38" s="10">
        <v>0.9</v>
      </c>
      <c r="B38" s="10">
        <v>0.9</v>
      </c>
      <c r="C38" s="12">
        <v>1.2727922061357855</v>
      </c>
      <c r="D38" s="11">
        <v>44.999999999999979</v>
      </c>
      <c r="E38" s="10">
        <v>90</v>
      </c>
      <c r="F38" s="11">
        <f t="shared" si="0"/>
        <v>45.000000000000021</v>
      </c>
      <c r="G38" s="11">
        <f t="shared" si="1"/>
        <v>44.999999999999979</v>
      </c>
      <c r="H38" s="12">
        <f t="shared" si="4"/>
        <v>1.2727922061357855</v>
      </c>
      <c r="I38" s="10">
        <v>3</v>
      </c>
      <c r="J38" s="13">
        <v>822.16526594311813</v>
      </c>
      <c r="K38" s="13">
        <v>1255.8599704382909</v>
      </c>
      <c r="L38" s="13">
        <v>49.4</v>
      </c>
      <c r="M38" s="2">
        <f t="shared" si="5"/>
        <v>953.55094924557648</v>
      </c>
      <c r="N38" s="12">
        <f t="shared" si="6"/>
        <v>0.73407613030635532</v>
      </c>
      <c r="O38" s="12">
        <f t="shared" si="11"/>
        <v>1.1213035450341882</v>
      </c>
      <c r="P38" s="12">
        <f t="shared" si="8"/>
        <v>49.4</v>
      </c>
      <c r="Q38" s="12">
        <f t="shared" si="12"/>
        <v>0.85138477611212182</v>
      </c>
      <c r="R38" s="14">
        <f t="shared" si="2"/>
        <v>4.8615223887878201E-2</v>
      </c>
      <c r="S38" s="14">
        <f t="shared" si="3"/>
        <v>0.18435985521516077</v>
      </c>
      <c r="T38" s="14">
        <f t="shared" si="9"/>
        <v>0.11902073281978914</v>
      </c>
      <c r="U38" s="14">
        <f t="shared" si="10"/>
        <v>-4.4000000000000199</v>
      </c>
    </row>
    <row r="39" spans="1:21">
      <c r="N39" s="2">
        <f>MIN(N2:N38)</f>
        <v>0.41639419203788736</v>
      </c>
      <c r="O39" s="2">
        <f>MIN(O2:O38)</f>
        <v>0.24310184937178733</v>
      </c>
      <c r="Q39" s="2">
        <f>MIN(Q2:Q38)</f>
        <v>0.53807976094127408</v>
      </c>
    </row>
    <row r="40" spans="1:21">
      <c r="N40" s="2">
        <f>MAX(N2:N38)</f>
        <v>0.79917747330530131</v>
      </c>
      <c r="O40" s="2">
        <f>MAX(O2:O38)</f>
        <v>1.1213035450341882</v>
      </c>
      <c r="Q40" s="2">
        <f>MAX(Q2:Q38)</f>
        <v>0.8550396227796877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F426-F3ED-4CC4-9CB5-208567AC560B}">
  <dimension ref="A1:I21"/>
  <sheetViews>
    <sheetView workbookViewId="0">
      <selection activeCell="F14" sqref="A1:F14"/>
    </sheetView>
  </sheetViews>
  <sheetFormatPr defaultRowHeight="15"/>
  <cols>
    <col min="1" max="1" width="16.875" bestFit="1" customWidth="1"/>
  </cols>
  <sheetData>
    <row r="1" spans="1:9">
      <c r="A1" t="s">
        <v>21</v>
      </c>
    </row>
    <row r="2" spans="1:9" ht="15.6" thickBot="1"/>
    <row r="3" spans="1:9">
      <c r="A3" s="9" t="s">
        <v>22</v>
      </c>
      <c r="B3" s="9"/>
    </row>
    <row r="4" spans="1:9">
      <c r="A4" t="s">
        <v>23</v>
      </c>
      <c r="B4">
        <v>0.89877693291844374</v>
      </c>
    </row>
    <row r="5" spans="1:9">
      <c r="A5" t="s">
        <v>24</v>
      </c>
      <c r="B5">
        <v>0.80779997514628477</v>
      </c>
    </row>
    <row r="6" spans="1:9">
      <c r="A6" t="s">
        <v>25</v>
      </c>
      <c r="B6">
        <v>0.78583425802014584</v>
      </c>
    </row>
    <row r="7" spans="1:9">
      <c r="A7" t="s">
        <v>26</v>
      </c>
      <c r="B7">
        <v>3.3370942103428954E-2</v>
      </c>
    </row>
    <row r="8" spans="1:9" ht="15.6" thickBot="1">
      <c r="A8" s="7" t="s">
        <v>27</v>
      </c>
      <c r="B8" s="7">
        <v>40</v>
      </c>
    </row>
    <row r="10" spans="1:9" ht="15.6" thickBot="1">
      <c r="A10" t="s">
        <v>28</v>
      </c>
    </row>
    <row r="11" spans="1:9">
      <c r="A11" s="8"/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</row>
    <row r="12" spans="1:9">
      <c r="A12" t="s">
        <v>29</v>
      </c>
      <c r="B12">
        <v>4</v>
      </c>
      <c r="C12">
        <v>0.16381564469986495</v>
      </c>
      <c r="D12">
        <v>4.0953911174966239E-2</v>
      </c>
      <c r="E12">
        <v>36.77548838981518</v>
      </c>
      <c r="F12">
        <v>4.4229358848758598E-12</v>
      </c>
    </row>
    <row r="13" spans="1:9">
      <c r="A13" t="s">
        <v>30</v>
      </c>
      <c r="B13">
        <v>35</v>
      </c>
      <c r="C13">
        <v>3.8976692190464256E-2</v>
      </c>
      <c r="D13">
        <v>1.1136197768704074E-3</v>
      </c>
    </row>
    <row r="14" spans="1:9" ht="15.6" thickBot="1">
      <c r="A14" s="7" t="s">
        <v>31</v>
      </c>
      <c r="B14" s="7">
        <v>39</v>
      </c>
      <c r="C14" s="7">
        <v>0.20279233689032922</v>
      </c>
      <c r="D14" s="7"/>
      <c r="E14" s="7"/>
      <c r="F14" s="7"/>
    </row>
    <row r="15" spans="1:9" ht="15.6" thickBot="1"/>
    <row r="16" spans="1:9">
      <c r="A16" s="8"/>
      <c r="B16" s="8" t="s">
        <v>38</v>
      </c>
      <c r="C16" s="8" t="s">
        <v>26</v>
      </c>
      <c r="D16" s="8" t="s">
        <v>39</v>
      </c>
      <c r="E16" s="8" t="s">
        <v>40</v>
      </c>
      <c r="F16" s="8" t="s">
        <v>41</v>
      </c>
      <c r="G16" s="8" t="s">
        <v>42</v>
      </c>
      <c r="H16" s="8" t="s">
        <v>43</v>
      </c>
      <c r="I16" s="8" t="s">
        <v>44</v>
      </c>
    </row>
    <row r="17" spans="1:9">
      <c r="A17" t="s">
        <v>32</v>
      </c>
      <c r="B17">
        <v>0.4501125182520565</v>
      </c>
      <c r="C17">
        <v>7.6788493752096051E-2</v>
      </c>
      <c r="D17">
        <v>5.8617182895291524</v>
      </c>
      <c r="E17">
        <v>1.174569279216616E-6</v>
      </c>
      <c r="F17">
        <v>0.29422358828752432</v>
      </c>
      <c r="G17">
        <v>0.60600144821658875</v>
      </c>
      <c r="H17">
        <v>0.29422358828752432</v>
      </c>
      <c r="I17">
        <v>0.60600144821658875</v>
      </c>
    </row>
    <row r="18" spans="1:9">
      <c r="A18" t="s">
        <v>9</v>
      </c>
      <c r="B18">
        <v>-0.44683445313149489</v>
      </c>
      <c r="C18">
        <v>6.1715796705564742E-2</v>
      </c>
      <c r="D18">
        <v>-7.2401958166928289</v>
      </c>
      <c r="E18">
        <v>1.8762702918857796E-8</v>
      </c>
      <c r="F18">
        <v>-0.57212418132174836</v>
      </c>
      <c r="G18">
        <v>-0.32154472494124142</v>
      </c>
      <c r="H18">
        <v>-0.57212418132174836</v>
      </c>
      <c r="I18">
        <v>-0.32154472494124142</v>
      </c>
    </row>
    <row r="19" spans="1:9">
      <c r="A19" t="s">
        <v>11</v>
      </c>
      <c r="B19">
        <v>4.446646140167846E-2</v>
      </c>
      <c r="C19">
        <v>6.4378377380858387E-2</v>
      </c>
      <c r="D19">
        <v>0.69070491072829787</v>
      </c>
      <c r="E19">
        <v>0.49430655983759619</v>
      </c>
      <c r="F19">
        <v>-8.6228592927094755E-2</v>
      </c>
      <c r="G19">
        <v>0.17516151573045166</v>
      </c>
      <c r="H19">
        <v>-8.6228592927094755E-2</v>
      </c>
      <c r="I19">
        <v>0.17516151573045166</v>
      </c>
    </row>
    <row r="20" spans="1:9">
      <c r="A20" t="s">
        <v>13</v>
      </c>
      <c r="B20">
        <v>-2.9534701815784941E-4</v>
      </c>
      <c r="C20">
        <v>1.1481404330842943E-3</v>
      </c>
      <c r="D20">
        <v>-0.25723945403128712</v>
      </c>
      <c r="E20">
        <v>0.79850026796473428</v>
      </c>
      <c r="F20">
        <v>-2.6261960141070587E-3</v>
      </c>
      <c r="G20">
        <v>2.0355019777913599E-3</v>
      </c>
      <c r="H20">
        <v>-2.6261960141070587E-3</v>
      </c>
      <c r="I20">
        <v>2.0355019777913599E-3</v>
      </c>
    </row>
    <row r="21" spans="1:9" ht="15.6" thickBot="1">
      <c r="A21" s="7" t="s">
        <v>15</v>
      </c>
      <c r="B21" s="7">
        <v>8.9066674240227434E-2</v>
      </c>
      <c r="C21" s="7">
        <v>0.10823627914896826</v>
      </c>
      <c r="D21" s="7">
        <v>0.8228911317031028</v>
      </c>
      <c r="E21" s="7">
        <v>0.41614149995929905</v>
      </c>
      <c r="F21" s="7">
        <v>-0.13066465418441039</v>
      </c>
      <c r="G21" s="7">
        <v>0.30879800266486523</v>
      </c>
      <c r="H21" s="7">
        <v>-0.13066465418441039</v>
      </c>
      <c r="I21" s="7">
        <v>0.30879800266486523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035E-1B91-489F-97B8-EEE1D444D5E9}">
  <dimension ref="A1:I21"/>
  <sheetViews>
    <sheetView workbookViewId="0">
      <selection activeCell="F12" sqref="F12"/>
    </sheetView>
  </sheetViews>
  <sheetFormatPr defaultRowHeight="15"/>
  <sheetData>
    <row r="1" spans="1:9">
      <c r="A1" t="s">
        <v>21</v>
      </c>
    </row>
    <row r="2" spans="1:9" ht="15.6" thickBot="1"/>
    <row r="3" spans="1:9">
      <c r="A3" s="9" t="s">
        <v>22</v>
      </c>
      <c r="B3" s="9"/>
    </row>
    <row r="4" spans="1:9">
      <c r="A4" t="s">
        <v>23</v>
      </c>
      <c r="B4">
        <v>0.87420084927327679</v>
      </c>
    </row>
    <row r="5" spans="1:9">
      <c r="A5" t="s">
        <v>24</v>
      </c>
      <c r="B5">
        <v>0.76422712487011846</v>
      </c>
    </row>
    <row r="6" spans="1:9">
      <c r="A6" t="s">
        <v>25</v>
      </c>
      <c r="B6">
        <v>0.73728165342670338</v>
      </c>
    </row>
    <row r="7" spans="1:9">
      <c r="A7" t="s">
        <v>26</v>
      </c>
      <c r="B7">
        <v>5.8479969991533605E-2</v>
      </c>
    </row>
    <row r="8" spans="1:9" ht="15.6" thickBot="1">
      <c r="A8" s="7" t="s">
        <v>27</v>
      </c>
      <c r="B8" s="7">
        <v>40</v>
      </c>
    </row>
    <row r="10" spans="1:9" ht="15.6" thickBot="1">
      <c r="A10" t="s">
        <v>28</v>
      </c>
    </row>
    <row r="11" spans="1:9">
      <c r="A11" s="8"/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</row>
    <row r="12" spans="1:9">
      <c r="A12" t="s">
        <v>29</v>
      </c>
      <c r="B12">
        <v>4</v>
      </c>
      <c r="C12">
        <v>0.38798142619514941</v>
      </c>
      <c r="D12">
        <v>9.6995356548787354E-2</v>
      </c>
      <c r="E12">
        <v>28.361987522652203</v>
      </c>
      <c r="F12">
        <v>1.5004414991624053E-10</v>
      </c>
    </row>
    <row r="13" spans="1:9">
      <c r="A13" t="s">
        <v>30</v>
      </c>
      <c r="B13">
        <v>35</v>
      </c>
      <c r="C13">
        <v>0.11969674115737348</v>
      </c>
      <c r="D13">
        <v>3.4199068902106711E-3</v>
      </c>
    </row>
    <row r="14" spans="1:9" ht="15.6" thickBot="1">
      <c r="A14" s="7" t="s">
        <v>31</v>
      </c>
      <c r="B14" s="7">
        <v>39</v>
      </c>
      <c r="C14" s="7">
        <v>0.50767816735252291</v>
      </c>
      <c r="D14" s="7"/>
      <c r="E14" s="7"/>
      <c r="F14" s="7"/>
    </row>
    <row r="15" spans="1:9" ht="15.6" thickBot="1"/>
    <row r="16" spans="1:9">
      <c r="A16" s="8"/>
      <c r="B16" s="8" t="s">
        <v>38</v>
      </c>
      <c r="C16" s="8" t="s">
        <v>26</v>
      </c>
      <c r="D16" s="8" t="s">
        <v>39</v>
      </c>
      <c r="E16" s="8" t="s">
        <v>40</v>
      </c>
      <c r="F16" s="8" t="s">
        <v>41</v>
      </c>
      <c r="G16" s="8" t="s">
        <v>42</v>
      </c>
      <c r="H16" s="8" t="s">
        <v>43</v>
      </c>
      <c r="I16" s="8" t="s">
        <v>44</v>
      </c>
    </row>
    <row r="17" spans="1:9">
      <c r="A17" t="s">
        <v>32</v>
      </c>
      <c r="B17">
        <v>0.71213043071637128</v>
      </c>
      <c r="C17">
        <v>0.13456583863888649</v>
      </c>
      <c r="D17">
        <v>5.2920595443796508</v>
      </c>
      <c r="E17">
        <v>6.6258179839165259E-6</v>
      </c>
      <c r="F17">
        <v>0.43894725482391134</v>
      </c>
      <c r="G17">
        <v>0.98531360660883127</v>
      </c>
      <c r="H17">
        <v>0.43894725482391134</v>
      </c>
      <c r="I17">
        <v>0.98531360660883127</v>
      </c>
    </row>
    <row r="18" spans="1:9">
      <c r="A18" t="s">
        <v>9</v>
      </c>
      <c r="B18">
        <v>-0.70643227956597421</v>
      </c>
      <c r="C18">
        <v>0.10815211414046852</v>
      </c>
      <c r="D18">
        <v>-6.5318397627295228</v>
      </c>
      <c r="E18">
        <v>1.5486882899643224E-7</v>
      </c>
      <c r="F18">
        <v>-0.92599274393957542</v>
      </c>
      <c r="G18">
        <v>-0.48687181519237294</v>
      </c>
      <c r="H18">
        <v>-0.92599274393957542</v>
      </c>
      <c r="I18">
        <v>-0.48687181519237294</v>
      </c>
    </row>
    <row r="19" spans="1:9">
      <c r="A19" t="s">
        <v>11</v>
      </c>
      <c r="B19">
        <v>3.1179677191063935E-2</v>
      </c>
      <c r="C19">
        <v>0.11281807884439009</v>
      </c>
      <c r="D19">
        <v>0.27637128295784974</v>
      </c>
      <c r="E19">
        <v>0.78388840991668096</v>
      </c>
      <c r="F19">
        <v>-0.19785319912090477</v>
      </c>
      <c r="G19">
        <v>0.26021255350303263</v>
      </c>
      <c r="H19">
        <v>-0.19785319912090477</v>
      </c>
      <c r="I19">
        <v>0.26021255350303263</v>
      </c>
    </row>
    <row r="20" spans="1:9">
      <c r="A20" t="s">
        <v>13</v>
      </c>
      <c r="B20">
        <v>-5.336132520650988E-3</v>
      </c>
      <c r="C20">
        <v>2.0120264469829512E-3</v>
      </c>
      <c r="D20">
        <v>-2.6521184791842867</v>
      </c>
      <c r="E20">
        <v>1.1939369539662304E-2</v>
      </c>
      <c r="F20">
        <v>-9.4207633625204464E-3</v>
      </c>
      <c r="G20">
        <v>-1.2515016787815287E-3</v>
      </c>
      <c r="H20">
        <v>-9.4207633625204464E-3</v>
      </c>
      <c r="I20">
        <v>-1.2515016787815287E-3</v>
      </c>
    </row>
    <row r="21" spans="1:9" ht="15.6" thickBot="1">
      <c r="A21" s="7" t="s">
        <v>15</v>
      </c>
      <c r="B21" s="7">
        <v>0.41477694156943329</v>
      </c>
      <c r="C21" s="7">
        <v>0.18967562668770233</v>
      </c>
      <c r="D21" s="7">
        <v>2.186769849203432</v>
      </c>
      <c r="E21" s="7">
        <v>3.5532365355562749E-2</v>
      </c>
      <c r="F21" s="7">
        <v>2.9714948034876287E-2</v>
      </c>
      <c r="G21" s="7">
        <v>0.79983893510399029</v>
      </c>
      <c r="H21" s="7">
        <v>2.9714948034876287E-2</v>
      </c>
      <c r="I21" s="7">
        <v>0.79983893510399029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0B1E-E283-4785-934E-7FE0B00F1A83}">
  <dimension ref="A1:I21"/>
  <sheetViews>
    <sheetView workbookViewId="0">
      <selection activeCell="H25" sqref="H25"/>
    </sheetView>
  </sheetViews>
  <sheetFormatPr defaultRowHeight="15"/>
  <cols>
    <col min="1" max="1" width="16.875" bestFit="1" customWidth="1"/>
  </cols>
  <sheetData>
    <row r="1" spans="1:9">
      <c r="A1" t="s">
        <v>21</v>
      </c>
    </row>
    <row r="2" spans="1:9" ht="15.6" thickBot="1"/>
    <row r="3" spans="1:9">
      <c r="A3" s="9" t="s">
        <v>22</v>
      </c>
      <c r="B3" s="9"/>
    </row>
    <row r="4" spans="1:9">
      <c r="A4" t="s">
        <v>23</v>
      </c>
      <c r="B4">
        <v>0.98618686044798576</v>
      </c>
    </row>
    <row r="5" spans="1:9">
      <c r="A5" t="s">
        <v>24</v>
      </c>
      <c r="B5">
        <v>0.97256452372025493</v>
      </c>
    </row>
    <row r="6" spans="1:9">
      <c r="A6" t="s">
        <v>25</v>
      </c>
      <c r="B6">
        <v>0.96942904071685554</v>
      </c>
    </row>
    <row r="7" spans="1:9">
      <c r="A7" t="s">
        <v>26</v>
      </c>
      <c r="B7">
        <v>5.1769687456978623E-2</v>
      </c>
    </row>
    <row r="8" spans="1:9" ht="15.6" thickBot="1">
      <c r="A8" s="7" t="s">
        <v>27</v>
      </c>
      <c r="B8" s="7">
        <v>40</v>
      </c>
    </row>
    <row r="10" spans="1:9" ht="15.6" thickBot="1">
      <c r="A10" t="s">
        <v>28</v>
      </c>
    </row>
    <row r="11" spans="1:9">
      <c r="A11" s="8"/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</row>
    <row r="12" spans="1:9">
      <c r="A12" t="s">
        <v>29</v>
      </c>
      <c r="B12">
        <v>4</v>
      </c>
      <c r="C12">
        <v>3.3252557284366051</v>
      </c>
      <c r="D12">
        <v>0.83131393210915128</v>
      </c>
      <c r="E12">
        <v>310.18012939818789</v>
      </c>
      <c r="F12">
        <v>8.4376342038221216E-27</v>
      </c>
    </row>
    <row r="13" spans="1:9">
      <c r="A13" t="s">
        <v>30</v>
      </c>
      <c r="B13">
        <v>35</v>
      </c>
      <c r="C13">
        <v>9.3803518878763731E-2</v>
      </c>
      <c r="D13">
        <v>2.6801005393932496E-3</v>
      </c>
    </row>
    <row r="14" spans="1:9" ht="15.6" thickBot="1">
      <c r="A14" s="7" t="s">
        <v>31</v>
      </c>
      <c r="B14" s="7">
        <v>39</v>
      </c>
      <c r="C14" s="7">
        <v>3.4190592473153689</v>
      </c>
      <c r="D14" s="7"/>
      <c r="E14" s="7"/>
      <c r="F14" s="7"/>
    </row>
    <row r="15" spans="1:9" ht="15.6" thickBot="1"/>
    <row r="16" spans="1:9">
      <c r="A16" s="8"/>
      <c r="B16" s="8" t="s">
        <v>38</v>
      </c>
      <c r="C16" s="8" t="s">
        <v>26</v>
      </c>
      <c r="D16" s="8" t="s">
        <v>39</v>
      </c>
      <c r="E16" s="8" t="s">
        <v>40</v>
      </c>
      <c r="F16" s="8" t="s">
        <v>41</v>
      </c>
      <c r="G16" s="8" t="s">
        <v>42</v>
      </c>
      <c r="H16" s="8" t="s">
        <v>43</v>
      </c>
      <c r="I16" s="8" t="s">
        <v>44</v>
      </c>
    </row>
    <row r="17" spans="1:9">
      <c r="A17" t="s">
        <v>32</v>
      </c>
      <c r="B17">
        <v>0.77604140970918245</v>
      </c>
      <c r="C17">
        <v>0.11912508521686876</v>
      </c>
      <c r="D17">
        <v>6.5145087476444532</v>
      </c>
      <c r="E17">
        <v>1.6315365019303781E-7</v>
      </c>
      <c r="F17">
        <v>0.5342046297569194</v>
      </c>
      <c r="G17">
        <v>1.0178781896614455</v>
      </c>
      <c r="H17">
        <v>0.5342046297569194</v>
      </c>
      <c r="I17">
        <v>1.0178781896614455</v>
      </c>
    </row>
    <row r="18" spans="1:9">
      <c r="A18" t="s">
        <v>9</v>
      </c>
      <c r="B18">
        <v>0.61287695470784465</v>
      </c>
      <c r="C18">
        <v>9.5742202803355131E-2</v>
      </c>
      <c r="D18">
        <v>6.4013249827417527</v>
      </c>
      <c r="E18">
        <v>2.2940423652009153E-7</v>
      </c>
      <c r="F18">
        <v>0.41850994972860112</v>
      </c>
      <c r="G18">
        <v>0.80724395968708818</v>
      </c>
      <c r="H18">
        <v>0.41850994972860112</v>
      </c>
      <c r="I18">
        <v>0.80724395968708818</v>
      </c>
    </row>
    <row r="19" spans="1:9">
      <c r="A19" t="s">
        <v>11</v>
      </c>
      <c r="B19">
        <v>-1.075430337812102</v>
      </c>
      <c r="C19">
        <v>9.9872771516750239E-2</v>
      </c>
      <c r="D19">
        <v>-10.768003345453725</v>
      </c>
      <c r="E19">
        <v>1.1809308315301535E-12</v>
      </c>
      <c r="F19">
        <v>-1.2781828430845916</v>
      </c>
      <c r="G19">
        <v>-0.87267783253961217</v>
      </c>
      <c r="H19">
        <v>-1.2781828430845916</v>
      </c>
      <c r="I19">
        <v>-0.87267783253961217</v>
      </c>
    </row>
    <row r="20" spans="1:9">
      <c r="A20" t="s">
        <v>13</v>
      </c>
      <c r="B20">
        <v>-5.9918915991175031E-3</v>
      </c>
      <c r="C20">
        <v>1.7811565281336931E-3</v>
      </c>
      <c r="D20">
        <v>-3.364045497672147</v>
      </c>
      <c r="E20">
        <v>1.8733320236487211E-3</v>
      </c>
      <c r="F20">
        <v>-9.6078315883365694E-3</v>
      </c>
      <c r="G20">
        <v>-2.3759516098984363E-3</v>
      </c>
      <c r="H20">
        <v>-9.6078315883365694E-3</v>
      </c>
      <c r="I20">
        <v>-2.3759516098984363E-3</v>
      </c>
    </row>
    <row r="21" spans="1:9" ht="15.6" thickBot="1">
      <c r="A21" s="7" t="s">
        <v>15</v>
      </c>
      <c r="B21" s="7">
        <v>-0.43699739554727429</v>
      </c>
      <c r="C21" s="7">
        <v>0.16791130216466432</v>
      </c>
      <c r="D21" s="7">
        <v>-2.6025490238812354</v>
      </c>
      <c r="E21" s="7">
        <v>1.3477835902871214E-2</v>
      </c>
      <c r="F21" s="7">
        <v>-0.77787546131459839</v>
      </c>
      <c r="G21" s="7">
        <v>-9.6119329779950136E-2</v>
      </c>
      <c r="H21" s="7">
        <v>-0.77787546131459839</v>
      </c>
      <c r="I21" s="7">
        <v>-9.6119329779950136E-2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63E3-C3D5-43B1-88A8-AE60588DD658}">
  <dimension ref="A1:I21"/>
  <sheetViews>
    <sheetView workbookViewId="0">
      <selection activeCell="B19" sqref="B19"/>
    </sheetView>
  </sheetViews>
  <sheetFormatPr defaultRowHeight="15"/>
  <sheetData>
    <row r="1" spans="1:9">
      <c r="A1" t="s">
        <v>21</v>
      </c>
    </row>
    <row r="2" spans="1:9" ht="15.6" thickBot="1"/>
    <row r="3" spans="1:9">
      <c r="A3" s="9" t="s">
        <v>22</v>
      </c>
      <c r="B3" s="9"/>
    </row>
    <row r="4" spans="1:9">
      <c r="A4" t="s">
        <v>23</v>
      </c>
      <c r="B4">
        <v>0.94595176521889868</v>
      </c>
    </row>
    <row r="5" spans="1:9">
      <c r="A5" t="s">
        <v>24</v>
      </c>
      <c r="B5">
        <v>0.89482474212075036</v>
      </c>
    </row>
    <row r="6" spans="1:9">
      <c r="A6" t="s">
        <v>25</v>
      </c>
      <c r="B6">
        <v>0.88280471264883609</v>
      </c>
    </row>
    <row r="7" spans="1:9">
      <c r="A7" t="s">
        <v>26</v>
      </c>
      <c r="B7">
        <v>2.1691896334391294</v>
      </c>
    </row>
    <row r="8" spans="1:9" ht="15.6" thickBot="1">
      <c r="A8" s="7" t="s">
        <v>27</v>
      </c>
      <c r="B8" s="7">
        <v>40</v>
      </c>
    </row>
    <row r="10" spans="1:9" ht="15.6" thickBot="1">
      <c r="A10" t="s">
        <v>28</v>
      </c>
    </row>
    <row r="11" spans="1:9">
      <c r="A11" s="8"/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</row>
    <row r="12" spans="1:9">
      <c r="A12" t="s">
        <v>29</v>
      </c>
      <c r="B12">
        <v>4</v>
      </c>
      <c r="C12">
        <v>1401.1592018753483</v>
      </c>
      <c r="D12">
        <v>350.28980046883709</v>
      </c>
      <c r="E12">
        <v>74.444471555712894</v>
      </c>
      <c r="F12">
        <v>1.2739370334544781E-16</v>
      </c>
    </row>
    <row r="13" spans="1:9">
      <c r="A13" t="s">
        <v>30</v>
      </c>
      <c r="B13">
        <v>35</v>
      </c>
      <c r="C13">
        <v>164.68842830369249</v>
      </c>
      <c r="D13">
        <v>4.7053836658197854</v>
      </c>
    </row>
    <row r="14" spans="1:9" ht="15.6" thickBot="1">
      <c r="A14" s="7" t="s">
        <v>31</v>
      </c>
      <c r="B14" s="7">
        <v>39</v>
      </c>
      <c r="C14" s="7">
        <v>1565.8476301790408</v>
      </c>
      <c r="D14" s="7"/>
      <c r="E14" s="7"/>
      <c r="F14" s="7"/>
    </row>
    <row r="15" spans="1:9" ht="15.6" thickBot="1"/>
    <row r="16" spans="1:9">
      <c r="A16" s="8"/>
      <c r="B16" s="8" t="s">
        <v>38</v>
      </c>
      <c r="C16" s="8" t="s">
        <v>26</v>
      </c>
      <c r="D16" s="8" t="s">
        <v>39</v>
      </c>
      <c r="E16" s="8" t="s">
        <v>40</v>
      </c>
      <c r="F16" s="8" t="s">
        <v>41</v>
      </c>
      <c r="G16" s="8" t="s">
        <v>42</v>
      </c>
      <c r="H16" s="8" t="s">
        <v>43</v>
      </c>
      <c r="I16" s="8" t="s">
        <v>44</v>
      </c>
    </row>
    <row r="17" spans="1:9">
      <c r="A17" t="s">
        <v>32</v>
      </c>
      <c r="B17">
        <v>0.26151114699693423</v>
      </c>
      <c r="C17">
        <v>4.9557847586090311</v>
      </c>
      <c r="D17">
        <v>5.2768867038191156E-2</v>
      </c>
      <c r="E17">
        <v>0.95821610872811425</v>
      </c>
      <c r="F17">
        <v>-9.7992667821574759</v>
      </c>
      <c r="G17">
        <v>10.322289076151344</v>
      </c>
      <c r="H17">
        <v>-9.7992667821574759</v>
      </c>
      <c r="I17">
        <v>10.322289076151344</v>
      </c>
    </row>
    <row r="18" spans="1:9">
      <c r="A18" t="s">
        <v>9</v>
      </c>
      <c r="B18">
        <v>-0.74920472578999231</v>
      </c>
      <c r="C18">
        <v>4.1607849178583596</v>
      </c>
      <c r="D18">
        <v>-0.18006331511498153</v>
      </c>
      <c r="E18">
        <v>0.85814137182900119</v>
      </c>
      <c r="F18">
        <v>-9.1960471752787036</v>
      </c>
      <c r="G18">
        <v>7.697637723698719</v>
      </c>
      <c r="H18">
        <v>-9.1960471752787036</v>
      </c>
      <c r="I18">
        <v>7.697637723698719</v>
      </c>
    </row>
    <row r="19" spans="1:9">
      <c r="A19" t="s">
        <v>11</v>
      </c>
      <c r="B19">
        <v>24.954522000491068</v>
      </c>
      <c r="C19">
        <v>4.1560768607738199</v>
      </c>
      <c r="D19">
        <v>6.0043456452931876</v>
      </c>
      <c r="E19">
        <v>7.6199321003685716E-7</v>
      </c>
      <c r="F19">
        <v>16.517237415016336</v>
      </c>
      <c r="G19">
        <v>33.391806585965796</v>
      </c>
      <c r="H19">
        <v>16.517237415016336</v>
      </c>
      <c r="I19">
        <v>33.391806585965796</v>
      </c>
    </row>
    <row r="20" spans="1:9">
      <c r="A20" t="s">
        <v>13</v>
      </c>
      <c r="B20">
        <v>-9.3895052005216015E-2</v>
      </c>
      <c r="C20">
        <v>2.6720121098057586E-2</v>
      </c>
      <c r="D20">
        <v>-3.5140204515031819</v>
      </c>
      <c r="E20">
        <v>1.2396927944454922E-3</v>
      </c>
      <c r="F20">
        <v>-0.14813978169019199</v>
      </c>
      <c r="G20">
        <v>-3.9650322320240031E-2</v>
      </c>
      <c r="H20">
        <v>-0.14813978169019199</v>
      </c>
      <c r="I20">
        <v>-3.9650322320240031E-2</v>
      </c>
    </row>
    <row r="21" spans="1:9" ht="15.6" thickBot="1">
      <c r="A21" s="7" t="s">
        <v>45</v>
      </c>
      <c r="B21" s="7">
        <v>-0.36598953503900622</v>
      </c>
      <c r="C21" s="7">
        <v>4.3268029718336327E-2</v>
      </c>
      <c r="D21" s="7">
        <v>-8.4586596020549898</v>
      </c>
      <c r="E21" s="7">
        <v>5.5819539310228178E-10</v>
      </c>
      <c r="F21" s="7">
        <v>-0.4538283052099723</v>
      </c>
      <c r="G21" s="7">
        <v>-0.27815076486804013</v>
      </c>
      <c r="H21" s="7">
        <v>-0.4538283052099723</v>
      </c>
      <c r="I21" s="7">
        <v>-0.27815076486804013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A5DA-1B02-44DE-A056-BFBDD3EEBE51}">
  <dimension ref="A1:I21"/>
  <sheetViews>
    <sheetView workbookViewId="0">
      <selection activeCell="I21" sqref="I21"/>
    </sheetView>
  </sheetViews>
  <sheetFormatPr defaultRowHeight="15"/>
  <cols>
    <col min="1" max="1" width="16.875" bestFit="1" customWidth="1"/>
  </cols>
  <sheetData>
    <row r="1" spans="1:9">
      <c r="A1" t="s">
        <v>21</v>
      </c>
    </row>
    <row r="2" spans="1:9" ht="15.6" thickBot="1"/>
    <row r="3" spans="1:9">
      <c r="A3" s="9" t="s">
        <v>22</v>
      </c>
      <c r="B3" s="9"/>
    </row>
    <row r="4" spans="1:9">
      <c r="A4" t="s">
        <v>23</v>
      </c>
      <c r="B4">
        <v>0.94091032421706045</v>
      </c>
    </row>
    <row r="5" spans="1:9">
      <c r="A5" t="s">
        <v>24</v>
      </c>
      <c r="B5">
        <v>0.88531223821825389</v>
      </c>
    </row>
    <row r="6" spans="1:9">
      <c r="A6" t="s">
        <v>25</v>
      </c>
      <c r="B6">
        <v>0.8722050654431972</v>
      </c>
    </row>
    <row r="7" spans="1:9">
      <c r="A7" t="s">
        <v>26</v>
      </c>
      <c r="B7">
        <v>2.5778063334350048E-2</v>
      </c>
    </row>
    <row r="8" spans="1:9" ht="15.6" thickBot="1">
      <c r="A8" s="7" t="s">
        <v>27</v>
      </c>
      <c r="B8" s="7">
        <v>40</v>
      </c>
    </row>
    <row r="10" spans="1:9" ht="15.6" thickBot="1">
      <c r="A10" t="s">
        <v>28</v>
      </c>
    </row>
    <row r="11" spans="1:9">
      <c r="A11" s="8"/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</row>
    <row r="12" spans="1:9">
      <c r="A12" t="s">
        <v>29</v>
      </c>
      <c r="B12">
        <v>4</v>
      </c>
      <c r="C12">
        <v>0.17953453766588753</v>
      </c>
      <c r="D12">
        <v>4.4883634416471883E-2</v>
      </c>
      <c r="E12">
        <v>67.54410378285597</v>
      </c>
      <c r="F12">
        <v>5.7391498860139308E-16</v>
      </c>
    </row>
    <row r="13" spans="1:9">
      <c r="A13" t="s">
        <v>30</v>
      </c>
      <c r="B13">
        <v>35</v>
      </c>
      <c r="C13">
        <v>2.325779922444168E-2</v>
      </c>
      <c r="D13">
        <v>6.6450854926976223E-4</v>
      </c>
    </row>
    <row r="14" spans="1:9" ht="15.6" thickBot="1">
      <c r="A14" s="7" t="s">
        <v>31</v>
      </c>
      <c r="B14" s="7">
        <v>39</v>
      </c>
      <c r="C14" s="7">
        <v>0.20279233689032922</v>
      </c>
      <c r="D14" s="7"/>
      <c r="E14" s="7"/>
      <c r="F14" s="7"/>
    </row>
    <row r="15" spans="1:9" ht="15.6" thickBot="1"/>
    <row r="16" spans="1:9">
      <c r="A16" s="8"/>
      <c r="B16" s="8" t="s">
        <v>38</v>
      </c>
      <c r="C16" s="8" t="s">
        <v>26</v>
      </c>
      <c r="D16" s="8" t="s">
        <v>39</v>
      </c>
      <c r="E16" s="8" t="s">
        <v>40</v>
      </c>
      <c r="F16" s="8" t="s">
        <v>41</v>
      </c>
      <c r="G16" s="8" t="s">
        <v>42</v>
      </c>
      <c r="H16" s="8" t="s">
        <v>43</v>
      </c>
      <c r="I16" s="8" t="s">
        <v>44</v>
      </c>
    </row>
    <row r="17" spans="1:9">
      <c r="A17" t="s">
        <v>32</v>
      </c>
      <c r="B17">
        <v>0.58099656435593094</v>
      </c>
      <c r="C17">
        <v>4.3959698136362885E-2</v>
      </c>
      <c r="D17">
        <v>13.216573110981811</v>
      </c>
      <c r="E17">
        <v>3.6154449635381935E-15</v>
      </c>
      <c r="F17">
        <v>0.49175363264580879</v>
      </c>
      <c r="G17">
        <v>0.67023949606605315</v>
      </c>
      <c r="H17">
        <v>0.49175363264580879</v>
      </c>
      <c r="I17">
        <v>0.67023949606605315</v>
      </c>
    </row>
    <row r="18" spans="1:9">
      <c r="A18" t="s">
        <v>9</v>
      </c>
      <c r="B18">
        <v>-0.18440075322110025</v>
      </c>
      <c r="C18">
        <v>5.8931672202212307E-2</v>
      </c>
      <c r="D18">
        <v>-3.1290602545328388</v>
      </c>
      <c r="E18">
        <v>3.5258334621055694E-3</v>
      </c>
      <c r="F18">
        <v>-0.30403840818386185</v>
      </c>
      <c r="G18">
        <v>-6.4763098258338647E-2</v>
      </c>
      <c r="H18">
        <v>-0.30403840818386185</v>
      </c>
      <c r="I18">
        <v>-6.4763098258338647E-2</v>
      </c>
    </row>
    <row r="19" spans="1:9">
      <c r="A19" t="s">
        <v>11</v>
      </c>
      <c r="B19">
        <v>-8.0641816168796912E-2</v>
      </c>
      <c r="C19">
        <v>3.9686858086428245E-2</v>
      </c>
      <c r="D19">
        <v>-2.0319526426904044</v>
      </c>
      <c r="E19">
        <v>4.9803303153085274E-2</v>
      </c>
      <c r="F19">
        <v>-0.16121042141740116</v>
      </c>
      <c r="G19">
        <v>-7.3210920192662288E-5</v>
      </c>
      <c r="H19">
        <v>-0.16121042141740116</v>
      </c>
      <c r="I19">
        <v>-7.3210920192662288E-5</v>
      </c>
    </row>
    <row r="20" spans="1:9">
      <c r="A20" t="s">
        <v>15</v>
      </c>
      <c r="B20">
        <v>-5.1196142802347966E-2</v>
      </c>
      <c r="C20">
        <v>2.8571576901134318E-2</v>
      </c>
      <c r="D20">
        <v>-1.7918556955921965</v>
      </c>
      <c r="E20">
        <v>8.1805534084125428E-2</v>
      </c>
      <c r="F20">
        <v>-0.10919952759195514</v>
      </c>
      <c r="G20">
        <v>6.8072419872592035E-3</v>
      </c>
      <c r="H20">
        <v>-0.10919952759195514</v>
      </c>
      <c r="I20">
        <v>6.8072419872592035E-3</v>
      </c>
    </row>
    <row r="21" spans="1:9" ht="15.6" thickBot="1">
      <c r="A21" s="7" t="s">
        <v>47</v>
      </c>
      <c r="B21" s="7">
        <v>-2.4741867115324924E-3</v>
      </c>
      <c r="C21" s="7">
        <v>5.0752350969310853E-4</v>
      </c>
      <c r="D21" s="7">
        <v>-4.8750189188843569</v>
      </c>
      <c r="E21" s="7">
        <v>2.3388214087992587E-5</v>
      </c>
      <c r="F21" s="7">
        <v>-3.504514212333912E-3</v>
      </c>
      <c r="G21" s="7">
        <v>-1.4438592107310726E-3</v>
      </c>
      <c r="H21" s="7">
        <v>-3.504514212333912E-3</v>
      </c>
      <c r="I21" s="7">
        <v>-1.4438592107310726E-3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4FF2-F314-485E-B213-B4683C850CB0}">
  <dimension ref="A1:I21"/>
  <sheetViews>
    <sheetView workbookViewId="0">
      <selection activeCell="H25" sqref="H25"/>
    </sheetView>
  </sheetViews>
  <sheetFormatPr defaultRowHeight="15"/>
  <cols>
    <col min="1" max="1" width="16.875" bestFit="1" customWidth="1"/>
  </cols>
  <sheetData>
    <row r="1" spans="1:9">
      <c r="A1" t="s">
        <v>21</v>
      </c>
    </row>
    <row r="2" spans="1:9" ht="15.6" thickBot="1"/>
    <row r="3" spans="1:9">
      <c r="A3" s="9" t="s">
        <v>22</v>
      </c>
      <c r="B3" s="9"/>
    </row>
    <row r="4" spans="1:9">
      <c r="A4" t="s">
        <v>23</v>
      </c>
      <c r="B4">
        <v>0.9204596189521832</v>
      </c>
    </row>
    <row r="5" spans="1:9">
      <c r="A5" t="s">
        <v>24</v>
      </c>
      <c r="B5">
        <v>0.84724591012159833</v>
      </c>
    </row>
    <row r="6" spans="1:9">
      <c r="A6" t="s">
        <v>25</v>
      </c>
      <c r="B6">
        <v>0.82978829984978097</v>
      </c>
    </row>
    <row r="7" spans="1:9">
      <c r="A7" t="s">
        <v>26</v>
      </c>
      <c r="B7">
        <v>4.7071349006457208E-2</v>
      </c>
    </row>
    <row r="8" spans="1:9" ht="15.6" thickBot="1">
      <c r="A8" s="7" t="s">
        <v>27</v>
      </c>
      <c r="B8" s="7">
        <v>40</v>
      </c>
    </row>
    <row r="10" spans="1:9" ht="15.6" thickBot="1">
      <c r="A10" t="s">
        <v>28</v>
      </c>
    </row>
    <row r="11" spans="1:9">
      <c r="A11" s="8"/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</row>
    <row r="12" spans="1:9">
      <c r="A12" t="s">
        <v>29</v>
      </c>
      <c r="B12">
        <v>4</v>
      </c>
      <c r="C12">
        <v>0.43012825094745338</v>
      </c>
      <c r="D12">
        <v>0.10753206273686335</v>
      </c>
      <c r="E12">
        <v>48.531608675521227</v>
      </c>
      <c r="F12">
        <v>8.3036307898532142E-14</v>
      </c>
    </row>
    <row r="13" spans="1:9">
      <c r="A13" t="s">
        <v>30</v>
      </c>
      <c r="B13">
        <v>35</v>
      </c>
      <c r="C13">
        <v>7.7549916405069516E-2</v>
      </c>
      <c r="D13">
        <v>2.2157118972877003E-3</v>
      </c>
    </row>
    <row r="14" spans="1:9" ht="15.6" thickBot="1">
      <c r="A14" s="7" t="s">
        <v>31</v>
      </c>
      <c r="B14" s="7">
        <v>39</v>
      </c>
      <c r="C14" s="7">
        <v>0.50767816735252291</v>
      </c>
      <c r="D14" s="7"/>
      <c r="E14" s="7"/>
      <c r="F14" s="7"/>
    </row>
    <row r="15" spans="1:9" ht="15.6" thickBot="1"/>
    <row r="16" spans="1:9">
      <c r="A16" s="8"/>
      <c r="B16" s="8" t="s">
        <v>38</v>
      </c>
      <c r="C16" s="8" t="s">
        <v>26</v>
      </c>
      <c r="D16" s="8" t="s">
        <v>39</v>
      </c>
      <c r="E16" s="8" t="s">
        <v>40</v>
      </c>
      <c r="F16" s="8" t="s">
        <v>41</v>
      </c>
      <c r="G16" s="8" t="s">
        <v>42</v>
      </c>
      <c r="H16" s="8" t="s">
        <v>43</v>
      </c>
      <c r="I16" s="8" t="s">
        <v>44</v>
      </c>
    </row>
    <row r="17" spans="1:9">
      <c r="A17" t="s">
        <v>32</v>
      </c>
      <c r="B17">
        <v>0.71326089199188281</v>
      </c>
      <c r="C17">
        <v>8.0271441122495693E-2</v>
      </c>
      <c r="D17">
        <v>8.8856121432208202</v>
      </c>
      <c r="E17">
        <v>1.6975951721186064E-10</v>
      </c>
      <c r="F17">
        <v>0.55030120295702356</v>
      </c>
      <c r="G17">
        <v>0.87622058102674205</v>
      </c>
      <c r="H17">
        <v>0.55030120295702356</v>
      </c>
      <c r="I17">
        <v>0.87622058102674205</v>
      </c>
    </row>
    <row r="18" spans="1:9">
      <c r="A18" t="s">
        <v>9</v>
      </c>
      <c r="B18">
        <v>3.2378416846029552E-2</v>
      </c>
      <c r="C18">
        <v>0.10761061736038326</v>
      </c>
      <c r="D18">
        <v>0.30088496507361956</v>
      </c>
      <c r="E18">
        <v>0.76528243942573382</v>
      </c>
      <c r="F18">
        <v>-0.18608275062119858</v>
      </c>
      <c r="G18">
        <v>0.2508395843132577</v>
      </c>
      <c r="H18">
        <v>-0.18608275062119858</v>
      </c>
      <c r="I18">
        <v>0.2508395843132577</v>
      </c>
    </row>
    <row r="19" spans="1:9">
      <c r="A19" t="s">
        <v>11</v>
      </c>
      <c r="B19">
        <v>-4.3910433649360916E-3</v>
      </c>
      <c r="C19">
        <v>7.2469134850277298E-2</v>
      </c>
      <c r="D19">
        <v>-6.0591910942611307E-2</v>
      </c>
      <c r="E19">
        <v>0.95202888968392463</v>
      </c>
      <c r="F19">
        <v>-0.15151120857792733</v>
      </c>
      <c r="G19">
        <v>0.14272912184805514</v>
      </c>
      <c r="H19">
        <v>-0.15151120857792733</v>
      </c>
      <c r="I19">
        <v>0.14272912184805514</v>
      </c>
    </row>
    <row r="20" spans="1:9">
      <c r="A20" t="s">
        <v>15</v>
      </c>
      <c r="B20">
        <v>-0.30943806417958636</v>
      </c>
      <c r="C20">
        <v>5.2172370380749331E-2</v>
      </c>
      <c r="D20">
        <v>-5.9310715982681028</v>
      </c>
      <c r="E20">
        <v>9.516325067725401E-7</v>
      </c>
      <c r="F20">
        <v>-0.41535360692515899</v>
      </c>
      <c r="G20">
        <v>-0.20352252143401373</v>
      </c>
      <c r="H20">
        <v>-0.41535360692515899</v>
      </c>
      <c r="I20">
        <v>-0.20352252143401373</v>
      </c>
    </row>
    <row r="21" spans="1:9" ht="15.6" thickBot="1">
      <c r="A21" s="7" t="s">
        <v>47</v>
      </c>
      <c r="B21" s="7">
        <v>-5.0657051393495044E-3</v>
      </c>
      <c r="C21" s="7">
        <v>9.2674984710400959E-4</v>
      </c>
      <c r="D21" s="7">
        <v>-5.466097626214097</v>
      </c>
      <c r="E21" s="7">
        <v>3.9064938912131082E-6</v>
      </c>
      <c r="F21" s="7">
        <v>-6.9471073514601484E-3</v>
      </c>
      <c r="G21" s="7">
        <v>-3.1843029272388603E-3</v>
      </c>
      <c r="H21" s="7">
        <v>-6.9471073514601484E-3</v>
      </c>
      <c r="I21" s="7">
        <v>-3.1843029272388603E-3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A908-3929-4104-AD29-F324A45B9D45}">
  <dimension ref="A1:I21"/>
  <sheetViews>
    <sheetView workbookViewId="0">
      <selection activeCell="A20" sqref="A20"/>
    </sheetView>
  </sheetViews>
  <sheetFormatPr defaultRowHeight="15"/>
  <cols>
    <col min="1" max="1" width="16.875" bestFit="1" customWidth="1"/>
  </cols>
  <sheetData>
    <row r="1" spans="1:9">
      <c r="A1" t="s">
        <v>21</v>
      </c>
    </row>
    <row r="2" spans="1:9" ht="15.6" thickBot="1"/>
    <row r="3" spans="1:9">
      <c r="A3" s="9" t="s">
        <v>22</v>
      </c>
      <c r="B3" s="9"/>
    </row>
    <row r="4" spans="1:9">
      <c r="A4" t="s">
        <v>23</v>
      </c>
      <c r="B4">
        <v>0.90784976636792158</v>
      </c>
    </row>
    <row r="5" spans="1:9">
      <c r="A5" t="s">
        <v>24</v>
      </c>
      <c r="B5">
        <v>0.82419119829428977</v>
      </c>
    </row>
    <row r="6" spans="1:9">
      <c r="A6" t="s">
        <v>25</v>
      </c>
      <c r="B6">
        <v>0.80409876381363721</v>
      </c>
    </row>
    <row r="7" spans="1:9">
      <c r="A7" t="s">
        <v>26</v>
      </c>
      <c r="B7">
        <v>2.8045360987183572</v>
      </c>
    </row>
    <row r="8" spans="1:9" ht="15.6" thickBot="1">
      <c r="A8" s="7" t="s">
        <v>27</v>
      </c>
      <c r="B8" s="7">
        <v>40</v>
      </c>
    </row>
    <row r="10" spans="1:9" ht="15.6" thickBot="1">
      <c r="A10" t="s">
        <v>28</v>
      </c>
    </row>
    <row r="11" spans="1:9">
      <c r="A11" s="8"/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</row>
    <row r="12" spans="1:9">
      <c r="A12" t="s">
        <v>29</v>
      </c>
      <c r="B12">
        <v>4</v>
      </c>
      <c r="C12">
        <v>1290.5578346635375</v>
      </c>
      <c r="D12">
        <v>322.63945866588438</v>
      </c>
      <c r="E12">
        <v>41.019976901650189</v>
      </c>
      <c r="F12">
        <v>9.4708583838312777E-13</v>
      </c>
    </row>
    <row r="13" spans="1:9">
      <c r="A13" t="s">
        <v>30</v>
      </c>
      <c r="B13">
        <v>35</v>
      </c>
      <c r="C13">
        <v>275.28979551550339</v>
      </c>
      <c r="D13">
        <v>7.8654227290143828</v>
      </c>
    </row>
    <row r="14" spans="1:9" ht="15.6" thickBot="1">
      <c r="A14" s="7" t="s">
        <v>31</v>
      </c>
      <c r="B14" s="7">
        <v>39</v>
      </c>
      <c r="C14" s="7">
        <v>1565.8476301790408</v>
      </c>
      <c r="D14" s="7"/>
      <c r="E14" s="7"/>
      <c r="F14" s="7"/>
    </row>
    <row r="15" spans="1:9" ht="15.6" thickBot="1"/>
    <row r="16" spans="1:9">
      <c r="A16" s="8"/>
      <c r="B16" s="8" t="s">
        <v>38</v>
      </c>
      <c r="C16" s="8" t="s">
        <v>26</v>
      </c>
      <c r="D16" s="8" t="s">
        <v>39</v>
      </c>
      <c r="E16" s="8" t="s">
        <v>40</v>
      </c>
      <c r="F16" s="8" t="s">
        <v>41</v>
      </c>
      <c r="G16" s="8" t="s">
        <v>42</v>
      </c>
      <c r="H16" s="8" t="s">
        <v>43</v>
      </c>
      <c r="I16" s="8" t="s">
        <v>44</v>
      </c>
    </row>
    <row r="17" spans="1:9">
      <c r="A17" t="s">
        <v>32</v>
      </c>
      <c r="B17">
        <v>-47.303671350670285</v>
      </c>
      <c r="C17">
        <v>4.782615307950957</v>
      </c>
      <c r="D17">
        <v>-9.8907539713740569</v>
      </c>
      <c r="E17">
        <v>1.1292465086523701E-11</v>
      </c>
      <c r="F17">
        <v>-57.012896605112985</v>
      </c>
      <c r="G17">
        <v>-37.594446096227585</v>
      </c>
      <c r="H17">
        <v>-57.012896605112985</v>
      </c>
      <c r="I17">
        <v>-37.594446096227585</v>
      </c>
    </row>
    <row r="18" spans="1:9">
      <c r="A18" t="s">
        <v>9</v>
      </c>
      <c r="B18">
        <v>-7.2079088346997544</v>
      </c>
      <c r="C18">
        <v>6.4114980208271231</v>
      </c>
      <c r="D18">
        <v>-1.1242160274066324</v>
      </c>
      <c r="E18">
        <v>0.26857289587769534</v>
      </c>
      <c r="F18">
        <v>-20.223941798742285</v>
      </c>
      <c r="G18">
        <v>5.8081241293427759</v>
      </c>
      <c r="H18">
        <v>-20.223941798742285</v>
      </c>
      <c r="I18">
        <v>5.8081241293427759</v>
      </c>
    </row>
    <row r="19" spans="1:9">
      <c r="A19" t="s">
        <v>11</v>
      </c>
      <c r="B19">
        <v>9.6312838728569847</v>
      </c>
      <c r="C19">
        <v>4.3177497356748926</v>
      </c>
      <c r="D19">
        <v>2.2306257802020459</v>
      </c>
      <c r="E19">
        <v>3.2213897188360076E-2</v>
      </c>
      <c r="F19">
        <v>0.86578590226255869</v>
      </c>
      <c r="G19">
        <v>18.396781843451411</v>
      </c>
      <c r="H19">
        <v>0.86578590226255869</v>
      </c>
      <c r="I19">
        <v>18.396781843451411</v>
      </c>
    </row>
    <row r="20" spans="1:9">
      <c r="A20" t="s">
        <v>15</v>
      </c>
      <c r="B20">
        <v>22.47538220456455</v>
      </c>
      <c r="C20">
        <v>3.1084576749318127</v>
      </c>
      <c r="D20">
        <v>7.2303967288399935</v>
      </c>
      <c r="E20">
        <v>1.9312972763260651E-8</v>
      </c>
      <c r="F20">
        <v>16.164877634054847</v>
      </c>
      <c r="G20">
        <v>28.785886775074253</v>
      </c>
      <c r="H20">
        <v>16.164877634054847</v>
      </c>
      <c r="I20">
        <v>28.785886775074253</v>
      </c>
    </row>
    <row r="21" spans="1:9" ht="15.6" thickBot="1">
      <c r="A21" s="7" t="s">
        <v>47</v>
      </c>
      <c r="B21" s="7">
        <v>0.31777416527818264</v>
      </c>
      <c r="C21" s="7">
        <v>5.5216250554628671E-2</v>
      </c>
      <c r="D21" s="7">
        <v>5.7550840936544585</v>
      </c>
      <c r="E21" s="7">
        <v>1.6236973040906918E-6</v>
      </c>
      <c r="F21" s="7">
        <v>0.20567921725897353</v>
      </c>
      <c r="G21" s="7">
        <v>0.42986911329739175</v>
      </c>
      <c r="H21" s="7">
        <v>0.20567921725897353</v>
      </c>
      <c r="I21" s="7">
        <v>0.42986911329739175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EF09-4AE6-4596-AEC9-CA71A4B2E514}">
  <dimension ref="A1:I67"/>
  <sheetViews>
    <sheetView workbookViewId="0">
      <selection activeCell="A17" sqref="A17:B21"/>
    </sheetView>
  </sheetViews>
  <sheetFormatPr defaultRowHeight="15"/>
  <cols>
    <col min="1" max="1" width="16.875" bestFit="1" customWidth="1"/>
    <col min="2" max="2" width="17.625" bestFit="1" customWidth="1"/>
  </cols>
  <sheetData>
    <row r="1" spans="1:9">
      <c r="A1" t="s">
        <v>21</v>
      </c>
    </row>
    <row r="2" spans="1:9" ht="15.6" thickBot="1"/>
    <row r="3" spans="1:9">
      <c r="A3" s="9" t="s">
        <v>22</v>
      </c>
      <c r="B3" s="9"/>
    </row>
    <row r="4" spans="1:9">
      <c r="A4" t="s">
        <v>23</v>
      </c>
      <c r="B4">
        <v>0.90784976636792158</v>
      </c>
    </row>
    <row r="5" spans="1:9">
      <c r="A5" t="s">
        <v>24</v>
      </c>
      <c r="B5">
        <v>0.82419119829428977</v>
      </c>
    </row>
    <row r="6" spans="1:9">
      <c r="A6" t="s">
        <v>25</v>
      </c>
      <c r="B6">
        <v>0.80409876381363721</v>
      </c>
    </row>
    <row r="7" spans="1:9">
      <c r="A7" t="s">
        <v>26</v>
      </c>
      <c r="B7">
        <v>2.8045360987183572</v>
      </c>
    </row>
    <row r="8" spans="1:9" ht="15.6" thickBot="1">
      <c r="A8" s="7" t="s">
        <v>27</v>
      </c>
      <c r="B8" s="7">
        <v>40</v>
      </c>
    </row>
    <row r="10" spans="1:9" ht="15.6" thickBot="1">
      <c r="A10" t="s">
        <v>28</v>
      </c>
    </row>
    <row r="11" spans="1:9">
      <c r="A11" s="8"/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</row>
    <row r="12" spans="1:9">
      <c r="A12" t="s">
        <v>29</v>
      </c>
      <c r="B12">
        <v>4</v>
      </c>
      <c r="C12">
        <v>1290.5578346635375</v>
      </c>
      <c r="D12">
        <v>322.63945866588438</v>
      </c>
      <c r="E12">
        <v>41.019976901650189</v>
      </c>
      <c r="F12">
        <v>9.4708583838312777E-13</v>
      </c>
    </row>
    <row r="13" spans="1:9">
      <c r="A13" t="s">
        <v>30</v>
      </c>
      <c r="B13">
        <v>35</v>
      </c>
      <c r="C13">
        <v>275.28979551550339</v>
      </c>
      <c r="D13">
        <v>7.8654227290143828</v>
      </c>
    </row>
    <row r="14" spans="1:9" ht="15.6" thickBot="1">
      <c r="A14" s="7" t="s">
        <v>31</v>
      </c>
      <c r="B14" s="7">
        <v>39</v>
      </c>
      <c r="C14" s="7">
        <v>1565.8476301790408</v>
      </c>
      <c r="D14" s="7"/>
      <c r="E14" s="7"/>
      <c r="F14" s="7"/>
    </row>
    <row r="15" spans="1:9" ht="15.6" thickBot="1"/>
    <row r="16" spans="1:9">
      <c r="A16" s="8"/>
      <c r="B16" s="8" t="s">
        <v>38</v>
      </c>
      <c r="C16" s="8" t="s">
        <v>26</v>
      </c>
      <c r="D16" s="8" t="s">
        <v>39</v>
      </c>
      <c r="E16" s="8" t="s">
        <v>40</v>
      </c>
      <c r="F16" s="8" t="s">
        <v>41</v>
      </c>
      <c r="G16" s="8" t="s">
        <v>42</v>
      </c>
      <c r="H16" s="8" t="s">
        <v>43</v>
      </c>
      <c r="I16" s="8" t="s">
        <v>44</v>
      </c>
    </row>
    <row r="17" spans="1:9">
      <c r="A17" t="s">
        <v>32</v>
      </c>
      <c r="B17">
        <v>-47.303671350670285</v>
      </c>
      <c r="C17">
        <v>4.782615307950957</v>
      </c>
      <c r="D17">
        <v>-9.8907539713740569</v>
      </c>
      <c r="E17">
        <v>1.1292465086523701E-11</v>
      </c>
      <c r="F17">
        <v>-57.012896605112985</v>
      </c>
      <c r="G17">
        <v>-37.594446096227585</v>
      </c>
      <c r="H17">
        <v>-57.012896605112985</v>
      </c>
      <c r="I17">
        <v>-37.594446096227585</v>
      </c>
    </row>
    <row r="18" spans="1:9">
      <c r="A18" t="s">
        <v>9</v>
      </c>
      <c r="B18">
        <v>-7.2079088346997544</v>
      </c>
      <c r="C18">
        <v>6.4114980208271231</v>
      </c>
      <c r="D18">
        <v>-1.1242160274066324</v>
      </c>
      <c r="E18">
        <v>0.26857289587769534</v>
      </c>
      <c r="F18">
        <v>-20.223941798742285</v>
      </c>
      <c r="G18">
        <v>5.8081241293427759</v>
      </c>
      <c r="H18">
        <v>-20.223941798742285</v>
      </c>
      <c r="I18">
        <v>5.8081241293427759</v>
      </c>
    </row>
    <row r="19" spans="1:9">
      <c r="A19" t="s">
        <v>11</v>
      </c>
      <c r="B19">
        <v>9.6312838728569847</v>
      </c>
      <c r="C19">
        <v>4.3177497356748926</v>
      </c>
      <c r="D19">
        <v>2.2306257802020459</v>
      </c>
      <c r="E19">
        <v>3.2213897188360076E-2</v>
      </c>
      <c r="F19">
        <v>0.86578590226255869</v>
      </c>
      <c r="G19">
        <v>18.396781843451411</v>
      </c>
      <c r="H19">
        <v>0.86578590226255869</v>
      </c>
      <c r="I19">
        <v>18.396781843451411</v>
      </c>
    </row>
    <row r="20" spans="1:9">
      <c r="A20" t="s">
        <v>15</v>
      </c>
      <c r="B20">
        <v>22.47538220456455</v>
      </c>
      <c r="C20">
        <v>3.1084576749318127</v>
      </c>
      <c r="D20">
        <v>7.2303967288399935</v>
      </c>
      <c r="E20">
        <v>1.9312972763260651E-8</v>
      </c>
      <c r="F20">
        <v>16.164877634054847</v>
      </c>
      <c r="G20">
        <v>28.785886775074253</v>
      </c>
      <c r="H20">
        <v>16.164877634054847</v>
      </c>
      <c r="I20">
        <v>28.785886775074253</v>
      </c>
    </row>
    <row r="21" spans="1:9" ht="15.6" thickBot="1">
      <c r="A21" s="7" t="s">
        <v>47</v>
      </c>
      <c r="B21" s="7">
        <v>0.31777416527818264</v>
      </c>
      <c r="C21" s="7">
        <v>5.5216250554628671E-2</v>
      </c>
      <c r="D21" s="7">
        <v>5.7550840936544585</v>
      </c>
      <c r="E21" s="7">
        <v>1.6236973040906918E-6</v>
      </c>
      <c r="F21" s="7">
        <v>0.20567921725897353</v>
      </c>
      <c r="G21" s="7">
        <v>0.42986911329739175</v>
      </c>
      <c r="H21" s="7">
        <v>0.20567921725897353</v>
      </c>
      <c r="I21" s="7">
        <v>0.42986911329739175</v>
      </c>
    </row>
    <row r="25" spans="1:9">
      <c r="A25" t="s">
        <v>51</v>
      </c>
      <c r="E25" t="s">
        <v>54</v>
      </c>
    </row>
    <row r="26" spans="1:9" ht="15.6" thickBot="1"/>
    <row r="27" spans="1:9">
      <c r="A27" s="8" t="s">
        <v>52</v>
      </c>
      <c r="B27" s="8" t="s">
        <v>53</v>
      </c>
      <c r="C27" s="8" t="s">
        <v>30</v>
      </c>
      <c r="E27" s="8" t="s">
        <v>55</v>
      </c>
      <c r="F27" s="8" t="s">
        <v>49</v>
      </c>
    </row>
    <row r="28" spans="1:9">
      <c r="A28">
        <v>1</v>
      </c>
      <c r="B28">
        <v>-15.036115579312749</v>
      </c>
      <c r="C28">
        <v>-2.1638844206872534</v>
      </c>
      <c r="E28">
        <v>1.25</v>
      </c>
      <c r="F28">
        <v>-24.438033800290199</v>
      </c>
    </row>
    <row r="29" spans="1:9">
      <c r="A29">
        <v>2</v>
      </c>
      <c r="B29">
        <v>-15.036115579312749</v>
      </c>
      <c r="C29">
        <v>-3.9638844206872506</v>
      </c>
      <c r="E29">
        <v>3.75</v>
      </c>
      <c r="F29">
        <v>-22.838033800290198</v>
      </c>
    </row>
    <row r="30" spans="1:9">
      <c r="A30">
        <v>3</v>
      </c>
      <c r="B30">
        <v>-13.297967088346258</v>
      </c>
      <c r="C30">
        <v>9.7967088346262443E-2</v>
      </c>
      <c r="E30">
        <v>6.25</v>
      </c>
      <c r="F30">
        <v>-22.338033800290198</v>
      </c>
    </row>
    <row r="31" spans="1:9">
      <c r="A31">
        <v>4</v>
      </c>
      <c r="B31">
        <v>-13.297967088346258</v>
      </c>
      <c r="C31">
        <v>5.0979670883462624</v>
      </c>
      <c r="E31">
        <v>8.75</v>
      </c>
      <c r="F31">
        <v>-21.938033800290199</v>
      </c>
    </row>
    <row r="32" spans="1:9">
      <c r="A32">
        <v>5</v>
      </c>
      <c r="B32">
        <v>-13.297967088346258</v>
      </c>
      <c r="C32">
        <v>2.5979670883462624</v>
      </c>
      <c r="E32">
        <v>11.25</v>
      </c>
      <c r="F32">
        <v>-20.838033800290198</v>
      </c>
    </row>
    <row r="33" spans="1:6">
      <c r="A33">
        <v>6</v>
      </c>
      <c r="B33">
        <v>-12.478814690329267</v>
      </c>
      <c r="C33">
        <v>3.9788146903292816</v>
      </c>
      <c r="E33">
        <v>13.75</v>
      </c>
      <c r="F33">
        <v>-20.338033800290198</v>
      </c>
    </row>
    <row r="34" spans="1:6">
      <c r="A34">
        <v>7</v>
      </c>
      <c r="B34">
        <v>-12.478814690329267</v>
      </c>
      <c r="C34">
        <v>3.3788146903292802</v>
      </c>
      <c r="E34">
        <v>16.25</v>
      </c>
      <c r="F34">
        <v>-19</v>
      </c>
    </row>
    <row r="35" spans="1:6">
      <c r="A35">
        <v>8</v>
      </c>
      <c r="B35">
        <v>-12.478814690329267</v>
      </c>
      <c r="C35">
        <v>0.77881469032927875</v>
      </c>
      <c r="E35">
        <v>18.75</v>
      </c>
      <c r="F35">
        <v>-17.200000000000003</v>
      </c>
    </row>
    <row r="36" spans="1:6">
      <c r="A36">
        <v>9</v>
      </c>
      <c r="B36">
        <v>-19.913380223574372</v>
      </c>
      <c r="C36">
        <v>-4.5246535767158278</v>
      </c>
      <c r="E36">
        <v>21.25</v>
      </c>
      <c r="F36">
        <v>-14.106605350869103</v>
      </c>
    </row>
    <row r="37" spans="1:6">
      <c r="A37">
        <v>10</v>
      </c>
      <c r="B37">
        <v>-19.913380223574372</v>
      </c>
      <c r="C37">
        <v>-2.4246535767158264</v>
      </c>
      <c r="E37">
        <v>23.75</v>
      </c>
      <c r="F37">
        <v>-13.199999999999996</v>
      </c>
    </row>
    <row r="38" spans="1:6">
      <c r="A38">
        <v>11</v>
      </c>
      <c r="B38">
        <v>-19.913380223574372</v>
      </c>
      <c r="C38">
        <v>-0.42465357671582638</v>
      </c>
      <c r="E38">
        <v>26.25</v>
      </c>
      <c r="F38">
        <v>-11.699999999999989</v>
      </c>
    </row>
    <row r="39" spans="1:6">
      <c r="A39">
        <v>12</v>
      </c>
      <c r="B39">
        <v>-19.913380223574372</v>
      </c>
      <c r="C39">
        <v>-2.9246535767158264</v>
      </c>
      <c r="E39">
        <v>28.75</v>
      </c>
      <c r="F39">
        <v>-10.806605350869106</v>
      </c>
    </row>
    <row r="40" spans="1:6">
      <c r="A40">
        <v>13</v>
      </c>
      <c r="B40">
        <v>-19.913380223574372</v>
      </c>
      <c r="C40">
        <v>-2.0246535767158278</v>
      </c>
      <c r="E40">
        <v>31.25</v>
      </c>
      <c r="F40">
        <v>-10.699999999999996</v>
      </c>
    </row>
    <row r="41" spans="1:6">
      <c r="A41">
        <v>14</v>
      </c>
      <c r="B41">
        <v>-19.913380223574372</v>
      </c>
      <c r="C41">
        <v>-0.92465357671582638</v>
      </c>
      <c r="E41">
        <v>33.75</v>
      </c>
      <c r="F41">
        <v>-10.209932474020214</v>
      </c>
    </row>
    <row r="42" spans="1:6">
      <c r="A42">
        <v>15</v>
      </c>
      <c r="B42">
        <v>-12.126115235578654</v>
      </c>
      <c r="C42">
        <v>1.3195098847095483</v>
      </c>
      <c r="E42">
        <v>36.25</v>
      </c>
      <c r="F42">
        <v>-9.8066053508691056</v>
      </c>
    </row>
    <row r="43" spans="1:6">
      <c r="A43">
        <v>16</v>
      </c>
      <c r="B43">
        <v>-12.126115235578654</v>
      </c>
      <c r="C43">
        <v>2.3195098847095483</v>
      </c>
      <c r="E43">
        <v>38.75</v>
      </c>
      <c r="F43">
        <v>-9.6900675259797922</v>
      </c>
    </row>
    <row r="44" spans="1:6">
      <c r="A44">
        <v>17</v>
      </c>
      <c r="B44">
        <v>-12.126115235578654</v>
      </c>
      <c r="C44">
        <v>3.1195098847095526</v>
      </c>
      <c r="E44">
        <v>41.25</v>
      </c>
      <c r="F44">
        <v>-9.0999999999999872</v>
      </c>
    </row>
    <row r="45" spans="1:6">
      <c r="A45">
        <v>18</v>
      </c>
      <c r="B45">
        <v>-12.126115235578654</v>
      </c>
      <c r="C45">
        <v>-1.9804901152904488</v>
      </c>
      <c r="E45">
        <v>43.75</v>
      </c>
      <c r="F45">
        <v>-9.0066053508691013</v>
      </c>
    </row>
    <row r="46" spans="1:6">
      <c r="A46">
        <v>19</v>
      </c>
      <c r="B46">
        <v>-7.9435851874225101</v>
      </c>
      <c r="C46">
        <v>0.93365271340229228</v>
      </c>
      <c r="E46">
        <v>46.25</v>
      </c>
      <c r="F46">
        <v>-8.5999999999999801</v>
      </c>
    </row>
    <row r="47" spans="1:6">
      <c r="A47">
        <v>20</v>
      </c>
      <c r="B47">
        <v>-7.9435851874225101</v>
      </c>
      <c r="C47">
        <v>-2.2663472865977035</v>
      </c>
      <c r="E47">
        <v>48.75</v>
      </c>
      <c r="F47">
        <v>-8.4999999999999858</v>
      </c>
    </row>
    <row r="48" spans="1:6">
      <c r="A48">
        <v>21</v>
      </c>
      <c r="B48">
        <v>-1.6163419861436452</v>
      </c>
      <c r="C48">
        <v>-2.245624213566181</v>
      </c>
      <c r="E48">
        <v>51.25</v>
      </c>
      <c r="F48">
        <v>-8.1999999999999957</v>
      </c>
    </row>
    <row r="49" spans="1:6">
      <c r="A49">
        <v>22</v>
      </c>
      <c r="B49">
        <v>-1.6163419861436452</v>
      </c>
      <c r="C49">
        <v>-0.84562421356618955</v>
      </c>
      <c r="E49">
        <v>53.75</v>
      </c>
      <c r="F49">
        <v>-8.1900675259797922</v>
      </c>
    </row>
    <row r="50" spans="1:6">
      <c r="A50">
        <v>23</v>
      </c>
      <c r="B50">
        <v>-1.6163419861436452</v>
      </c>
      <c r="C50">
        <v>-1.745624213566181</v>
      </c>
      <c r="E50">
        <v>56.25</v>
      </c>
      <c r="F50">
        <v>-7.0099324740202178</v>
      </c>
    </row>
    <row r="51" spans="1:6">
      <c r="A51">
        <v>24</v>
      </c>
      <c r="B51">
        <v>-5.0347019145015004</v>
      </c>
      <c r="C51">
        <v>-1.9586927346293912</v>
      </c>
      <c r="E51">
        <v>58.75</v>
      </c>
      <c r="F51">
        <v>-6.9933946491308916</v>
      </c>
    </row>
    <row r="52" spans="1:6">
      <c r="A52">
        <v>25</v>
      </c>
      <c r="B52">
        <v>-5.0347019145015004</v>
      </c>
      <c r="C52">
        <v>0.64130726537060312</v>
      </c>
      <c r="E52">
        <v>61.25</v>
      </c>
      <c r="F52">
        <v>-6.6999999999999886</v>
      </c>
    </row>
    <row r="53" spans="1:6">
      <c r="A53">
        <v>26</v>
      </c>
      <c r="B53">
        <v>-5.0347019145015004</v>
      </c>
      <c r="C53">
        <v>-0.4586927346293912</v>
      </c>
      <c r="E53">
        <v>63.75</v>
      </c>
      <c r="F53">
        <v>-6.1900675259797922</v>
      </c>
    </row>
    <row r="54" spans="1:6">
      <c r="A54">
        <v>27</v>
      </c>
      <c r="B54">
        <v>-5.0347019145015004</v>
      </c>
      <c r="C54">
        <v>-0.55869273462939972</v>
      </c>
      <c r="E54">
        <v>66.25</v>
      </c>
      <c r="F54">
        <v>-5.9000000000000128</v>
      </c>
    </row>
    <row r="55" spans="1:6">
      <c r="A55">
        <v>28</v>
      </c>
      <c r="B55">
        <v>-5.8073342971207644</v>
      </c>
      <c r="C55">
        <v>-3.8827332288590277</v>
      </c>
      <c r="E55">
        <v>68.75</v>
      </c>
      <c r="F55">
        <v>-5.7000000000000242</v>
      </c>
    </row>
    <row r="56" spans="1:6">
      <c r="A56">
        <v>29</v>
      </c>
      <c r="B56">
        <v>-5.8073342971207644</v>
      </c>
      <c r="C56">
        <v>-2.3827332288590277</v>
      </c>
      <c r="E56">
        <v>71.25</v>
      </c>
      <c r="F56">
        <v>-5.5933946491309001</v>
      </c>
    </row>
    <row r="57" spans="1:6">
      <c r="A57">
        <v>30</v>
      </c>
      <c r="B57">
        <v>-5.8073342971207644</v>
      </c>
      <c r="C57">
        <v>-0.38273322885902772</v>
      </c>
      <c r="E57">
        <v>73.75</v>
      </c>
      <c r="F57">
        <v>-5.4933946491308916</v>
      </c>
    </row>
    <row r="58" spans="1:6">
      <c r="A58">
        <v>31</v>
      </c>
      <c r="B58">
        <v>-5.8073342971207644</v>
      </c>
      <c r="C58">
        <v>4.0172667711409709</v>
      </c>
      <c r="E58">
        <v>76.25</v>
      </c>
      <c r="F58">
        <v>-5.0000000000000071</v>
      </c>
    </row>
    <row r="59" spans="1:6">
      <c r="A59">
        <v>32</v>
      </c>
      <c r="B59">
        <v>-10.818868891565817</v>
      </c>
      <c r="C59">
        <v>5.8188688915658311</v>
      </c>
      <c r="E59">
        <v>78.75</v>
      </c>
      <c r="F59">
        <v>-4.9999999999999858</v>
      </c>
    </row>
    <row r="60" spans="1:6">
      <c r="A60">
        <v>33</v>
      </c>
      <c r="B60">
        <v>-10.818868891565817</v>
      </c>
      <c r="C60">
        <v>2.2188688915658368</v>
      </c>
      <c r="E60">
        <v>81.25</v>
      </c>
      <c r="F60">
        <v>-4.9000000000000128</v>
      </c>
    </row>
    <row r="61" spans="1:6">
      <c r="A61">
        <v>34</v>
      </c>
      <c r="B61">
        <v>-10.818868891565817</v>
      </c>
      <c r="C61">
        <v>4.1188688915658282</v>
      </c>
      <c r="E61">
        <v>83.75</v>
      </c>
      <c r="F61">
        <v>-4.4000000000000199</v>
      </c>
    </row>
    <row r="62" spans="1:6">
      <c r="A62">
        <v>35</v>
      </c>
      <c r="B62">
        <v>-5.8283399155297211</v>
      </c>
      <c r="C62">
        <v>-7.1660084470291707E-2</v>
      </c>
      <c r="E62">
        <v>86.25</v>
      </c>
      <c r="F62">
        <v>-4.3933946491308973</v>
      </c>
    </row>
    <row r="63" spans="1:6">
      <c r="A63">
        <v>36</v>
      </c>
      <c r="B63">
        <v>-5.8283399155297211</v>
      </c>
      <c r="C63">
        <v>0.92833991552970829</v>
      </c>
      <c r="E63">
        <v>88.75</v>
      </c>
      <c r="F63">
        <v>-4.2000000000000099</v>
      </c>
    </row>
    <row r="64" spans="1:6">
      <c r="A64">
        <v>37</v>
      </c>
      <c r="B64">
        <v>-5.8283399155297211</v>
      </c>
      <c r="C64">
        <v>0.82833991552971398</v>
      </c>
      <c r="E64">
        <v>91.25</v>
      </c>
      <c r="F64">
        <v>-3.8619661997098262</v>
      </c>
    </row>
    <row r="65" spans="1:6">
      <c r="A65">
        <v>38</v>
      </c>
      <c r="B65">
        <v>-5.8283399155297211</v>
      </c>
      <c r="C65">
        <v>1.6283399155297111</v>
      </c>
      <c r="E65">
        <v>93.75</v>
      </c>
      <c r="F65">
        <v>-3.3619661997098262</v>
      </c>
    </row>
    <row r="66" spans="1:6">
      <c r="A66">
        <v>39</v>
      </c>
      <c r="B66">
        <v>-2.2163050789178715</v>
      </c>
      <c r="C66">
        <v>-3.4836949210821526</v>
      </c>
      <c r="E66">
        <v>96.25</v>
      </c>
      <c r="F66">
        <v>-2.4619661997098348</v>
      </c>
    </row>
    <row r="67" spans="1:6" ht="15.6" thickBot="1">
      <c r="A67" s="7">
        <v>40</v>
      </c>
      <c r="B67" s="7">
        <v>-2.2163050789178715</v>
      </c>
      <c r="C67" s="7">
        <v>-2.1836949210821484</v>
      </c>
      <c r="E67" s="7">
        <v>98.75</v>
      </c>
      <c r="F67" s="7">
        <v>-1.7900675259797936</v>
      </c>
    </row>
  </sheetData>
  <sortState xmlns:xlrd2="http://schemas.microsoft.com/office/spreadsheetml/2017/richdata2" ref="F28:F67">
    <sortCondition ref="F28"/>
  </sortState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2F300-E92C-49AC-9F5B-C83A2DEDFE83}">
  <dimension ref="A1:I67"/>
  <sheetViews>
    <sheetView workbookViewId="0">
      <selection activeCell="G27" sqref="G27"/>
    </sheetView>
  </sheetViews>
  <sheetFormatPr defaultRowHeight="15"/>
  <cols>
    <col min="1" max="1" width="16.875" bestFit="1" customWidth="1"/>
    <col min="6" max="9" width="15.125" bestFit="1" customWidth="1"/>
  </cols>
  <sheetData>
    <row r="1" spans="1:9">
      <c r="A1" t="s">
        <v>21</v>
      </c>
    </row>
    <row r="2" spans="1:9" ht="15.6" thickBot="1"/>
    <row r="3" spans="1:9">
      <c r="A3" s="9" t="s">
        <v>22</v>
      </c>
      <c r="B3" s="9"/>
    </row>
    <row r="4" spans="1:9">
      <c r="A4" t="s">
        <v>23</v>
      </c>
      <c r="B4">
        <v>0.98988896015707628</v>
      </c>
    </row>
    <row r="5" spans="1:9">
      <c r="A5" t="s">
        <v>24</v>
      </c>
      <c r="B5">
        <v>0.97988015344085766</v>
      </c>
    </row>
    <row r="6" spans="1:9">
      <c r="A6" t="s">
        <v>25</v>
      </c>
      <c r="B6">
        <v>0.97758074240552706</v>
      </c>
    </row>
    <row r="7" spans="1:9">
      <c r="A7" t="s">
        <v>26</v>
      </c>
      <c r="B7">
        <v>2.8045360987183607</v>
      </c>
    </row>
    <row r="8" spans="1:9" ht="15.6" thickBot="1">
      <c r="A8" s="7" t="s">
        <v>27</v>
      </c>
      <c r="B8" s="7">
        <v>40</v>
      </c>
    </row>
    <row r="10" spans="1:9" ht="15.6" thickBot="1">
      <c r="A10" t="s">
        <v>28</v>
      </c>
    </row>
    <row r="11" spans="1:9">
      <c r="A11" s="8"/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</row>
    <row r="12" spans="1:9">
      <c r="A12" t="s">
        <v>29</v>
      </c>
      <c r="B12">
        <v>4</v>
      </c>
      <c r="C12">
        <v>13407.209954484493</v>
      </c>
      <c r="D12">
        <v>3351.8024886211233</v>
      </c>
      <c r="E12">
        <v>426.14397268907243</v>
      </c>
      <c r="F12">
        <v>3.7347201716139243E-29</v>
      </c>
    </row>
    <row r="13" spans="1:9">
      <c r="A13" t="s">
        <v>30</v>
      </c>
      <c r="B13">
        <v>35</v>
      </c>
      <c r="C13">
        <v>275.28979551550412</v>
      </c>
      <c r="D13">
        <v>7.8654227290144032</v>
      </c>
    </row>
    <row r="14" spans="1:9" ht="15.6" thickBot="1">
      <c r="A14" s="7" t="s">
        <v>31</v>
      </c>
      <c r="B14" s="7">
        <v>39</v>
      </c>
      <c r="C14" s="7">
        <v>13682.499749999997</v>
      </c>
      <c r="D14" s="7"/>
      <c r="E14" s="7"/>
      <c r="F14" s="7"/>
    </row>
    <row r="15" spans="1:9" ht="15.6" thickBot="1"/>
    <row r="16" spans="1:9">
      <c r="A16" s="8"/>
      <c r="B16" s="8" t="s">
        <v>38</v>
      </c>
      <c r="C16" s="8" t="s">
        <v>26</v>
      </c>
      <c r="D16" s="8" t="s">
        <v>39</v>
      </c>
      <c r="E16" s="8" t="s">
        <v>40</v>
      </c>
      <c r="F16" s="8" t="s">
        <v>41</v>
      </c>
      <c r="G16" s="8" t="s">
        <v>42</v>
      </c>
      <c r="H16" s="8" t="s">
        <v>43</v>
      </c>
      <c r="I16" s="8" t="s">
        <v>44</v>
      </c>
    </row>
    <row r="17" spans="1:9">
      <c r="A17" t="s">
        <v>32</v>
      </c>
      <c r="B17">
        <v>47.303671350670278</v>
      </c>
      <c r="C17">
        <v>4.7826153079509641</v>
      </c>
      <c r="D17">
        <v>9.8907539713740409</v>
      </c>
      <c r="E17">
        <v>1.1292465086524189E-11</v>
      </c>
      <c r="F17">
        <v>37.594446096227564</v>
      </c>
      <c r="G17">
        <v>57.012896605112992</v>
      </c>
      <c r="H17">
        <v>37.594446096227564</v>
      </c>
      <c r="I17">
        <v>57.012896605112992</v>
      </c>
    </row>
    <row r="18" spans="1:9">
      <c r="A18" t="s">
        <v>9</v>
      </c>
      <c r="B18">
        <v>7.2079088346997091</v>
      </c>
      <c r="C18">
        <v>6.4114980208271311</v>
      </c>
      <c r="D18">
        <v>1.124216027406624</v>
      </c>
      <c r="E18">
        <v>0.26857289587769778</v>
      </c>
      <c r="F18">
        <v>-5.8081241293428372</v>
      </c>
      <c r="G18">
        <v>20.223941798742256</v>
      </c>
      <c r="H18">
        <v>-5.8081241293428372</v>
      </c>
      <c r="I18">
        <v>20.223941798742256</v>
      </c>
    </row>
    <row r="19" spans="1:9">
      <c r="A19" t="s">
        <v>11</v>
      </c>
      <c r="B19">
        <v>-9.6312838728569901</v>
      </c>
      <c r="C19">
        <v>4.3177497356748979</v>
      </c>
      <c r="D19">
        <v>-2.2306257802020442</v>
      </c>
      <c r="E19">
        <v>3.2213897188360277E-2</v>
      </c>
      <c r="F19">
        <v>-18.396781843451429</v>
      </c>
      <c r="G19">
        <v>-0.86578590226255336</v>
      </c>
      <c r="H19">
        <v>-18.396781843451429</v>
      </c>
      <c r="I19">
        <v>-0.86578590226255336</v>
      </c>
    </row>
    <row r="20" spans="1:9">
      <c r="A20" t="s">
        <v>15</v>
      </c>
      <c r="B20">
        <v>-22.475382204564561</v>
      </c>
      <c r="C20">
        <v>3.1084576749318171</v>
      </c>
      <c r="D20">
        <v>-7.2303967288399864</v>
      </c>
      <c r="E20">
        <v>1.9312972763261041E-8</v>
      </c>
      <c r="F20">
        <v>-28.785886775074275</v>
      </c>
      <c r="G20">
        <v>-16.164877634054847</v>
      </c>
      <c r="H20">
        <v>-28.785886775074275</v>
      </c>
      <c r="I20">
        <v>-16.164877634054847</v>
      </c>
    </row>
    <row r="21" spans="1:9" ht="15.6" thickBot="1">
      <c r="A21" s="7" t="s">
        <v>47</v>
      </c>
      <c r="B21" s="7">
        <v>0.68222583472181852</v>
      </c>
      <c r="C21" s="7">
        <v>5.5216250554628747E-2</v>
      </c>
      <c r="D21" s="7">
        <v>12.355526278388853</v>
      </c>
      <c r="E21" s="7">
        <v>2.5480031639963886E-14</v>
      </c>
      <c r="F21" s="7">
        <v>0.57013088670260925</v>
      </c>
      <c r="G21" s="7">
        <v>0.7943207827410278</v>
      </c>
      <c r="H21" s="7">
        <v>0.57013088670260925</v>
      </c>
      <c r="I21" s="7">
        <v>0.7943207827410278</v>
      </c>
    </row>
    <row r="25" spans="1:9">
      <c r="A25" t="s">
        <v>51</v>
      </c>
      <c r="E25" t="s">
        <v>54</v>
      </c>
    </row>
    <row r="26" spans="1:9" ht="15.6" thickBot="1"/>
    <row r="27" spans="1:9">
      <c r="A27" s="8" t="s">
        <v>52</v>
      </c>
      <c r="B27" s="8" t="s">
        <v>56</v>
      </c>
      <c r="C27" s="8" t="s">
        <v>30</v>
      </c>
      <c r="E27" s="8" t="s">
        <v>55</v>
      </c>
      <c r="F27" s="8" t="s">
        <v>6</v>
      </c>
    </row>
    <row r="28" spans="1:9">
      <c r="A28">
        <v>1</v>
      </c>
      <c r="B28">
        <v>90.036115579312792</v>
      </c>
      <c r="C28">
        <v>2.1638844206872108</v>
      </c>
      <c r="E28">
        <v>1.25</v>
      </c>
      <c r="F28">
        <v>40.700000000000003</v>
      </c>
    </row>
    <row r="29" spans="1:9">
      <c r="A29">
        <v>2</v>
      </c>
      <c r="B29">
        <v>90.036115579312792</v>
      </c>
      <c r="C29">
        <v>3.9638844206872079</v>
      </c>
      <c r="E29">
        <v>3.75</v>
      </c>
      <c r="F29">
        <v>43.9</v>
      </c>
    </row>
    <row r="30" spans="1:9">
      <c r="A30">
        <v>3</v>
      </c>
      <c r="B30">
        <v>73.297967088346297</v>
      </c>
      <c r="C30">
        <v>-9.7967088346294418E-2</v>
      </c>
      <c r="E30">
        <v>6.25</v>
      </c>
      <c r="F30">
        <v>49.4</v>
      </c>
    </row>
    <row r="31" spans="1:9">
      <c r="A31">
        <v>4</v>
      </c>
      <c r="B31">
        <v>73.297967088346297</v>
      </c>
      <c r="C31">
        <v>-5.0979670883462944</v>
      </c>
      <c r="E31">
        <v>8.75</v>
      </c>
      <c r="F31">
        <v>49.9</v>
      </c>
    </row>
    <row r="32" spans="1:9">
      <c r="A32">
        <v>5</v>
      </c>
      <c r="B32">
        <v>73.297967088346297</v>
      </c>
      <c r="C32">
        <v>-2.5979670883462944</v>
      </c>
      <c r="E32">
        <v>11.25</v>
      </c>
      <c r="F32">
        <v>50.7</v>
      </c>
    </row>
    <row r="33" spans="1:6">
      <c r="A33">
        <v>6</v>
      </c>
      <c r="B33">
        <v>57.478814690329287</v>
      </c>
      <c r="C33">
        <v>-3.9788146903292869</v>
      </c>
      <c r="E33">
        <v>13.75</v>
      </c>
      <c r="F33">
        <v>50.7</v>
      </c>
    </row>
    <row r="34" spans="1:6">
      <c r="A34">
        <v>7</v>
      </c>
      <c r="B34">
        <v>57.478814690329287</v>
      </c>
      <c r="C34">
        <v>-3.3788146903292855</v>
      </c>
      <c r="E34">
        <v>16.25</v>
      </c>
      <c r="F34">
        <v>51.7</v>
      </c>
    </row>
    <row r="35" spans="1:6">
      <c r="A35">
        <v>8</v>
      </c>
      <c r="B35">
        <v>57.478814690329287</v>
      </c>
      <c r="C35">
        <v>-0.77881469032928408</v>
      </c>
      <c r="E35">
        <v>18.75</v>
      </c>
      <c r="F35">
        <v>53.5</v>
      </c>
    </row>
    <row r="36" spans="1:6">
      <c r="A36">
        <v>9</v>
      </c>
      <c r="B36">
        <v>58.175346423284182</v>
      </c>
      <c r="C36">
        <v>4.5246535767158207</v>
      </c>
      <c r="E36">
        <v>21.25</v>
      </c>
      <c r="F36">
        <v>54.1</v>
      </c>
    </row>
    <row r="37" spans="1:6">
      <c r="A37">
        <v>10</v>
      </c>
      <c r="B37">
        <v>58.175346423284182</v>
      </c>
      <c r="C37">
        <v>2.4246535767158193</v>
      </c>
      <c r="E37">
        <v>23.75</v>
      </c>
      <c r="F37">
        <v>55</v>
      </c>
    </row>
    <row r="38" spans="1:6">
      <c r="A38">
        <v>11</v>
      </c>
      <c r="B38">
        <v>58.175346423284182</v>
      </c>
      <c r="C38">
        <v>0.42465357671581927</v>
      </c>
      <c r="E38">
        <v>26.25</v>
      </c>
      <c r="F38">
        <v>56.7</v>
      </c>
    </row>
    <row r="39" spans="1:6">
      <c r="A39">
        <v>12</v>
      </c>
      <c r="B39">
        <v>58.175346423284182</v>
      </c>
      <c r="C39">
        <v>2.9246535767158193</v>
      </c>
      <c r="E39">
        <v>28.75</v>
      </c>
      <c r="F39">
        <v>58.1</v>
      </c>
    </row>
    <row r="40" spans="1:6">
      <c r="A40">
        <v>13</v>
      </c>
      <c r="B40">
        <v>58.175346423284182</v>
      </c>
      <c r="C40">
        <v>2.0246535767158207</v>
      </c>
      <c r="E40">
        <v>31.25</v>
      </c>
      <c r="F40">
        <v>58.6</v>
      </c>
    </row>
    <row r="41" spans="1:6">
      <c r="A41">
        <v>14</v>
      </c>
      <c r="B41">
        <v>58.175346423284182</v>
      </c>
      <c r="C41">
        <v>0.92465357671581927</v>
      </c>
      <c r="E41">
        <v>33.75</v>
      </c>
      <c r="F41">
        <v>59.1</v>
      </c>
    </row>
    <row r="42" spans="1:6">
      <c r="A42">
        <v>15</v>
      </c>
      <c r="B42">
        <v>53.019509884709557</v>
      </c>
      <c r="C42">
        <v>-1.3195098847095537</v>
      </c>
      <c r="E42">
        <v>36.25</v>
      </c>
      <c r="F42">
        <v>60.2</v>
      </c>
    </row>
    <row r="43" spans="1:6">
      <c r="A43">
        <v>16</v>
      </c>
      <c r="B43">
        <v>53.019509884709557</v>
      </c>
      <c r="C43">
        <v>-2.3195098847095537</v>
      </c>
      <c r="E43">
        <v>38.75</v>
      </c>
      <c r="F43">
        <v>60.6</v>
      </c>
    </row>
    <row r="44" spans="1:6">
      <c r="A44">
        <v>17</v>
      </c>
      <c r="B44">
        <v>53.019509884709557</v>
      </c>
      <c r="C44">
        <v>-3.1195098847095579</v>
      </c>
      <c r="E44">
        <v>41.25</v>
      </c>
      <c r="F44">
        <v>61.1</v>
      </c>
    </row>
    <row r="45" spans="1:6">
      <c r="A45">
        <v>18</v>
      </c>
      <c r="B45">
        <v>53.019509884709557</v>
      </c>
      <c r="C45">
        <v>1.9804901152904435</v>
      </c>
      <c r="E45">
        <v>43.75</v>
      </c>
      <c r="F45">
        <v>62.5</v>
      </c>
    </row>
    <row r="46" spans="1:6">
      <c r="A46">
        <v>19</v>
      </c>
      <c r="B46">
        <v>41.633652713402284</v>
      </c>
      <c r="C46">
        <v>-0.93365271340228162</v>
      </c>
      <c r="E46">
        <v>46.25</v>
      </c>
      <c r="F46">
        <v>62.7</v>
      </c>
    </row>
    <row r="47" spans="1:6">
      <c r="A47">
        <v>20</v>
      </c>
      <c r="B47">
        <v>41.633652713402284</v>
      </c>
      <c r="C47">
        <v>2.2663472865977141</v>
      </c>
      <c r="E47">
        <v>48.75</v>
      </c>
      <c r="F47">
        <v>64.2</v>
      </c>
    </row>
    <row r="48" spans="1:6">
      <c r="A48">
        <v>21</v>
      </c>
      <c r="B48">
        <v>113.35437578643391</v>
      </c>
      <c r="C48">
        <v>2.2456242135660887</v>
      </c>
      <c r="E48">
        <v>51.25</v>
      </c>
      <c r="F48">
        <v>64.5</v>
      </c>
    </row>
    <row r="49" spans="1:6">
      <c r="A49">
        <v>22</v>
      </c>
      <c r="B49">
        <v>113.35437578643391</v>
      </c>
      <c r="C49">
        <v>0.84562421356609718</v>
      </c>
      <c r="E49">
        <v>53.75</v>
      </c>
      <c r="F49">
        <v>64.900000000000006</v>
      </c>
    </row>
    <row r="50" spans="1:6">
      <c r="A50">
        <v>23</v>
      </c>
      <c r="B50">
        <v>113.35437578643391</v>
      </c>
      <c r="C50">
        <v>1.7456242135660887</v>
      </c>
      <c r="E50">
        <v>56.25</v>
      </c>
      <c r="F50">
        <v>65</v>
      </c>
    </row>
    <row r="51" spans="1:6">
      <c r="A51">
        <v>24</v>
      </c>
      <c r="B51">
        <v>84.141307265370642</v>
      </c>
      <c r="C51">
        <v>1.9586927346293521</v>
      </c>
      <c r="E51">
        <v>58.75</v>
      </c>
      <c r="F51">
        <v>65.900000000000006</v>
      </c>
    </row>
    <row r="52" spans="1:6">
      <c r="A52">
        <v>25</v>
      </c>
      <c r="B52">
        <v>84.141307265370642</v>
      </c>
      <c r="C52">
        <v>-0.6413072653706422</v>
      </c>
      <c r="E52">
        <v>61.25</v>
      </c>
      <c r="F52">
        <v>66</v>
      </c>
    </row>
    <row r="53" spans="1:6">
      <c r="A53">
        <v>26</v>
      </c>
      <c r="B53">
        <v>84.141307265370642</v>
      </c>
      <c r="C53">
        <v>0.45869273462935212</v>
      </c>
      <c r="E53">
        <v>63.75</v>
      </c>
      <c r="F53">
        <v>68.2</v>
      </c>
    </row>
    <row r="54" spans="1:6">
      <c r="A54">
        <v>27</v>
      </c>
      <c r="B54">
        <v>84.141307265370642</v>
      </c>
      <c r="C54">
        <v>0.55869273462936064</v>
      </c>
      <c r="E54">
        <v>66.25</v>
      </c>
      <c r="F54">
        <v>70.7</v>
      </c>
    </row>
    <row r="55" spans="1:6">
      <c r="A55">
        <v>28</v>
      </c>
      <c r="B55">
        <v>62.11726677114099</v>
      </c>
      <c r="C55">
        <v>3.88273322885901</v>
      </c>
      <c r="E55">
        <v>68.75</v>
      </c>
      <c r="F55">
        <v>73.2</v>
      </c>
    </row>
    <row r="56" spans="1:6">
      <c r="A56">
        <v>29</v>
      </c>
      <c r="B56">
        <v>62.11726677114099</v>
      </c>
      <c r="C56">
        <v>2.38273322885901</v>
      </c>
      <c r="E56">
        <v>71.25</v>
      </c>
      <c r="F56">
        <v>80</v>
      </c>
    </row>
    <row r="57" spans="1:6">
      <c r="A57">
        <v>30</v>
      </c>
      <c r="B57">
        <v>62.11726677114099</v>
      </c>
      <c r="C57">
        <v>0.38273322885900996</v>
      </c>
      <c r="E57">
        <v>73.75</v>
      </c>
      <c r="F57">
        <v>81.7</v>
      </c>
    </row>
    <row r="58" spans="1:6">
      <c r="A58">
        <v>31</v>
      </c>
      <c r="B58">
        <v>62.11726677114099</v>
      </c>
      <c r="C58">
        <v>-4.0172667711409886</v>
      </c>
      <c r="E58">
        <v>76.25</v>
      </c>
      <c r="F58">
        <v>83.5</v>
      </c>
    </row>
    <row r="59" spans="1:6">
      <c r="A59">
        <v>32</v>
      </c>
      <c r="B59">
        <v>85.81886889156587</v>
      </c>
      <c r="C59">
        <v>-5.8188688915658702</v>
      </c>
      <c r="E59">
        <v>78.75</v>
      </c>
      <c r="F59">
        <v>83.6</v>
      </c>
    </row>
    <row r="60" spans="1:6">
      <c r="A60">
        <v>33</v>
      </c>
      <c r="B60">
        <v>85.81886889156587</v>
      </c>
      <c r="C60">
        <v>-2.2188688915658759</v>
      </c>
      <c r="E60">
        <v>81.25</v>
      </c>
      <c r="F60">
        <v>84.6</v>
      </c>
    </row>
    <row r="61" spans="1:6">
      <c r="A61">
        <v>34</v>
      </c>
      <c r="B61">
        <v>85.81886889156587</v>
      </c>
      <c r="C61">
        <v>-4.1188688915658673</v>
      </c>
      <c r="E61">
        <v>83.75</v>
      </c>
      <c r="F61">
        <v>84.7</v>
      </c>
    </row>
    <row r="62" spans="1:6">
      <c r="A62">
        <v>35</v>
      </c>
      <c r="B62">
        <v>65.828339915529739</v>
      </c>
      <c r="C62">
        <v>7.1660084470266838E-2</v>
      </c>
      <c r="E62">
        <v>86.25</v>
      </c>
      <c r="F62">
        <v>86.1</v>
      </c>
    </row>
    <row r="63" spans="1:6">
      <c r="A63">
        <v>36</v>
      </c>
      <c r="B63">
        <v>65.828339915529739</v>
      </c>
      <c r="C63">
        <v>-0.92833991552973316</v>
      </c>
      <c r="E63">
        <v>88.75</v>
      </c>
      <c r="F63">
        <v>92.2</v>
      </c>
    </row>
    <row r="64" spans="1:6">
      <c r="A64">
        <v>37</v>
      </c>
      <c r="B64">
        <v>65.828339915529739</v>
      </c>
      <c r="C64">
        <v>-0.82833991552973885</v>
      </c>
      <c r="E64">
        <v>91.25</v>
      </c>
      <c r="F64">
        <v>94</v>
      </c>
    </row>
    <row r="65" spans="1:6">
      <c r="A65">
        <v>38</v>
      </c>
      <c r="B65">
        <v>65.828339915529739</v>
      </c>
      <c r="C65">
        <v>-1.628339915529736</v>
      </c>
      <c r="E65">
        <v>93.75</v>
      </c>
      <c r="F65">
        <v>114.2</v>
      </c>
    </row>
    <row r="66" spans="1:6">
      <c r="A66">
        <v>39</v>
      </c>
      <c r="B66">
        <v>47.216305078917848</v>
      </c>
      <c r="C66">
        <v>3.4836949210821544</v>
      </c>
      <c r="E66">
        <v>96.25</v>
      </c>
      <c r="F66">
        <v>115.1</v>
      </c>
    </row>
    <row r="67" spans="1:6" ht="15.6" thickBot="1">
      <c r="A67" s="7">
        <v>40</v>
      </c>
      <c r="B67" s="7">
        <v>47.216305078917848</v>
      </c>
      <c r="C67" s="7">
        <v>2.1836949210821501</v>
      </c>
      <c r="E67" s="7">
        <v>98.75</v>
      </c>
      <c r="F67" s="7">
        <v>115.6</v>
      </c>
    </row>
  </sheetData>
  <sortState xmlns:xlrd2="http://schemas.microsoft.com/office/spreadsheetml/2017/richdata2" ref="F28:F67">
    <sortCondition ref="F28"/>
  </sortState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B7FF-F4C7-46C5-B5E4-2C126A29B31A}">
  <dimension ref="A1:I69"/>
  <sheetViews>
    <sheetView workbookViewId="0">
      <selection activeCell="B23" sqref="B23"/>
    </sheetView>
  </sheetViews>
  <sheetFormatPr defaultRowHeight="15"/>
  <cols>
    <col min="1" max="1" width="16.875" bestFit="1" customWidth="1"/>
  </cols>
  <sheetData>
    <row r="1" spans="1:9">
      <c r="A1" t="s">
        <v>21</v>
      </c>
    </row>
    <row r="2" spans="1:9" ht="15.6" thickBot="1"/>
    <row r="3" spans="1:9">
      <c r="A3" s="9" t="s">
        <v>22</v>
      </c>
      <c r="B3" s="9"/>
    </row>
    <row r="4" spans="1:9">
      <c r="A4" t="s">
        <v>23</v>
      </c>
      <c r="B4">
        <v>0.94368521999822408</v>
      </c>
    </row>
    <row r="5" spans="1:9">
      <c r="A5" t="s">
        <v>24</v>
      </c>
      <c r="B5">
        <v>0.89054179444309667</v>
      </c>
    </row>
    <row r="6" spans="1:9">
      <c r="A6" t="s">
        <v>25</v>
      </c>
      <c r="B6">
        <v>0.84503323480237569</v>
      </c>
    </row>
    <row r="7" spans="1:9">
      <c r="A7" t="s">
        <v>26</v>
      </c>
      <c r="B7">
        <v>2.5551151290227055E-2</v>
      </c>
    </row>
    <row r="8" spans="1:9" ht="15.6" thickBot="1">
      <c r="A8" s="7" t="s">
        <v>27</v>
      </c>
      <c r="B8" s="7">
        <v>40</v>
      </c>
    </row>
    <row r="10" spans="1:9" ht="15.6" thickBot="1">
      <c r="A10" t="s">
        <v>28</v>
      </c>
    </row>
    <row r="11" spans="1:9">
      <c r="A11" s="8"/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</row>
    <row r="12" spans="1:9">
      <c r="A12" t="s">
        <v>29</v>
      </c>
      <c r="B12">
        <v>6</v>
      </c>
      <c r="C12">
        <v>0.18059505159362277</v>
      </c>
      <c r="D12">
        <v>3.0099175265603795E-2</v>
      </c>
      <c r="E12">
        <v>55.324168447699698</v>
      </c>
      <c r="F12">
        <v>8.1379926547553055E-16</v>
      </c>
    </row>
    <row r="13" spans="1:9">
      <c r="A13" t="s">
        <v>30</v>
      </c>
      <c r="B13">
        <v>34</v>
      </c>
      <c r="C13">
        <v>2.2197285296706438E-2</v>
      </c>
      <c r="D13">
        <v>6.5286133225607175E-4</v>
      </c>
    </row>
    <row r="14" spans="1:9" ht="15.6" thickBot="1">
      <c r="A14" s="7" t="s">
        <v>31</v>
      </c>
      <c r="B14" s="7">
        <v>40</v>
      </c>
      <c r="C14" s="7">
        <v>0.20279233689032922</v>
      </c>
      <c r="D14" s="7"/>
      <c r="E14" s="7"/>
      <c r="F14" s="7"/>
    </row>
    <row r="15" spans="1:9" ht="15.6" thickBot="1"/>
    <row r="16" spans="1:9">
      <c r="A16" s="8"/>
      <c r="B16" s="8" t="s">
        <v>38</v>
      </c>
      <c r="C16" s="8" t="s">
        <v>26</v>
      </c>
      <c r="D16" s="8" t="s">
        <v>39</v>
      </c>
      <c r="E16" s="8" t="s">
        <v>40</v>
      </c>
      <c r="F16" s="8" t="s">
        <v>41</v>
      </c>
      <c r="G16" s="8" t="s">
        <v>42</v>
      </c>
      <c r="H16" s="8" t="s">
        <v>43</v>
      </c>
      <c r="I16" s="8" t="s">
        <v>44</v>
      </c>
    </row>
    <row r="17" spans="1:9">
      <c r="A17" t="s">
        <v>32</v>
      </c>
      <c r="B17">
        <v>0.18532590465272089</v>
      </c>
      <c r="C17">
        <v>7.8643285017646058E-2</v>
      </c>
      <c r="D17">
        <v>2.356538191546008</v>
      </c>
      <c r="E17">
        <v>2.4348132937673184E-2</v>
      </c>
      <c r="F17">
        <v>2.5503520480901237E-2</v>
      </c>
      <c r="G17">
        <v>0.34514828882454052</v>
      </c>
      <c r="H17">
        <v>2.5503520480901237E-2</v>
      </c>
      <c r="I17">
        <v>0.34514828882454052</v>
      </c>
    </row>
    <row r="18" spans="1:9">
      <c r="A18" t="s">
        <v>9</v>
      </c>
      <c r="B18">
        <v>-0.22068998277593865</v>
      </c>
      <c r="C18">
        <v>6.49828405944924E-2</v>
      </c>
      <c r="D18">
        <v>-3.3961270507254984</v>
      </c>
      <c r="E18">
        <v>1.7549101283284244E-3</v>
      </c>
      <c r="F18">
        <v>-0.3527510037739644</v>
      </c>
      <c r="G18">
        <v>-8.8628961777912879E-2</v>
      </c>
      <c r="H18">
        <v>-0.3527510037739644</v>
      </c>
      <c r="I18">
        <v>-8.8628961777912879E-2</v>
      </c>
    </row>
    <row r="19" spans="1:9">
      <c r="A19" t="s">
        <v>11</v>
      </c>
      <c r="B19">
        <v>-0.14063064360568728</v>
      </c>
      <c r="C19">
        <v>6.1341707724016134E-2</v>
      </c>
      <c r="D19">
        <v>-2.2925779021086563</v>
      </c>
      <c r="E19">
        <v>2.8184621736343871E-2</v>
      </c>
      <c r="F19">
        <v>-0.2652919923199914</v>
      </c>
      <c r="G19">
        <v>-1.5969294891383171E-2</v>
      </c>
      <c r="H19">
        <v>-0.2652919923199914</v>
      </c>
      <c r="I19">
        <v>-1.5969294891383171E-2</v>
      </c>
    </row>
    <row r="20" spans="1:9">
      <c r="A20" t="s">
        <v>15</v>
      </c>
      <c r="B20">
        <v>4.8589431677496346E-2</v>
      </c>
      <c r="C20">
        <v>8.3257065679095868E-2</v>
      </c>
      <c r="D20">
        <v>0.58360730445123232</v>
      </c>
      <c r="E20">
        <v>0.56333639537081748</v>
      </c>
      <c r="F20">
        <v>-0.12060928291075093</v>
      </c>
      <c r="G20">
        <v>0.21778814626574364</v>
      </c>
      <c r="H20">
        <v>-0.12060928291075093</v>
      </c>
      <c r="I20">
        <v>0.21778814626574364</v>
      </c>
    </row>
    <row r="21" spans="1:9">
      <c r="A21" t="s">
        <v>47</v>
      </c>
      <c r="B21">
        <v>0</v>
      </c>
      <c r="C21">
        <v>0</v>
      </c>
      <c r="D21">
        <v>65535</v>
      </c>
      <c r="E21" t="e">
        <v>#NUM!</v>
      </c>
      <c r="F21">
        <v>0</v>
      </c>
      <c r="G21">
        <v>0</v>
      </c>
      <c r="H21">
        <v>0</v>
      </c>
      <c r="I21">
        <v>0</v>
      </c>
    </row>
    <row r="22" spans="1:9">
      <c r="A22" t="s">
        <v>13</v>
      </c>
      <c r="B22">
        <v>1.4553642530868442E-3</v>
      </c>
      <c r="C22">
        <v>9.4449268786915151E-4</v>
      </c>
      <c r="D22">
        <v>1.5408952041442041</v>
      </c>
      <c r="E22" t="e">
        <v>#NUM!</v>
      </c>
      <c r="F22">
        <v>-4.6407582592597322E-4</v>
      </c>
      <c r="G22">
        <v>3.3748043320996615E-3</v>
      </c>
      <c r="H22">
        <v>-4.6407582592597322E-4</v>
      </c>
      <c r="I22">
        <v>3.3748043320996615E-3</v>
      </c>
    </row>
    <row r="23" spans="1:9" ht="15.6" thickBot="1">
      <c r="A23" s="7" t="s">
        <v>45</v>
      </c>
      <c r="B23" s="7">
        <v>2.5957576485403431E-3</v>
      </c>
      <c r="C23" s="7">
        <v>5.1201927815232751E-4</v>
      </c>
      <c r="D23" s="7">
        <v>5.0696482716576465</v>
      </c>
      <c r="E23" s="7">
        <v>1.3952981073288883E-5</v>
      </c>
      <c r="F23" s="7">
        <v>1.5552092818504537E-3</v>
      </c>
      <c r="G23" s="7">
        <v>3.6363060152302326E-3</v>
      </c>
      <c r="H23" s="7">
        <v>1.5552092818504537E-3</v>
      </c>
      <c r="I23" s="7">
        <v>3.6363060152302326E-3</v>
      </c>
    </row>
    <row r="27" spans="1:9">
      <c r="A27" t="s">
        <v>51</v>
      </c>
      <c r="E27" t="s">
        <v>54</v>
      </c>
    </row>
    <row r="28" spans="1:9" ht="15.6" thickBot="1"/>
    <row r="29" spans="1:9">
      <c r="A29" s="8" t="s">
        <v>52</v>
      </c>
      <c r="B29" s="8" t="s">
        <v>57</v>
      </c>
      <c r="C29" s="8" t="s">
        <v>30</v>
      </c>
      <c r="E29" s="8" t="s">
        <v>55</v>
      </c>
      <c r="F29" s="8" t="s">
        <v>18</v>
      </c>
    </row>
    <row r="30" spans="1:9">
      <c r="A30">
        <v>1</v>
      </c>
      <c r="B30">
        <v>0.22196732442748893</v>
      </c>
      <c r="C30">
        <v>-2.8592717907273441E-2</v>
      </c>
      <c r="E30">
        <v>1.25</v>
      </c>
      <c r="F30">
        <v>9.0051872897541171E-2</v>
      </c>
    </row>
    <row r="31" spans="1:9">
      <c r="A31">
        <v>2</v>
      </c>
      <c r="B31">
        <v>0.22196732442748893</v>
      </c>
      <c r="C31">
        <v>-2.7049594665639248E-2</v>
      </c>
      <c r="E31">
        <v>3.75</v>
      </c>
      <c r="F31">
        <v>9.0078602339485808E-2</v>
      </c>
    </row>
    <row r="32" spans="1:9">
      <c r="A32">
        <v>3</v>
      </c>
      <c r="B32">
        <v>0.24075450192787434</v>
      </c>
      <c r="C32">
        <v>4.9016962381463192E-2</v>
      </c>
      <c r="E32">
        <v>6.25</v>
      </c>
      <c r="F32">
        <v>0.10086173798414921</v>
      </c>
    </row>
    <row r="33" spans="1:6">
      <c r="A33">
        <v>4</v>
      </c>
      <c r="B33">
        <v>0.24075450192787434</v>
      </c>
      <c r="C33">
        <v>-2.7045472391140635E-2</v>
      </c>
      <c r="E33">
        <v>8.75</v>
      </c>
      <c r="F33">
        <v>0.11202502966077635</v>
      </c>
    </row>
    <row r="34" spans="1:6">
      <c r="A34">
        <v>5</v>
      </c>
      <c r="B34">
        <v>0.24075450192787434</v>
      </c>
      <c r="C34">
        <v>-3.9318133357718804E-2</v>
      </c>
      <c r="E34">
        <v>11.25</v>
      </c>
      <c r="F34">
        <v>0.11692416541435621</v>
      </c>
    </row>
    <row r="35" spans="1:6">
      <c r="A35">
        <v>6</v>
      </c>
      <c r="B35">
        <v>0.25755490574566642</v>
      </c>
      <c r="C35">
        <v>4.8454774191187988E-2</v>
      </c>
      <c r="E35">
        <v>13.75</v>
      </c>
      <c r="F35">
        <v>0.11700261167891221</v>
      </c>
    </row>
    <row r="36" spans="1:6">
      <c r="A36">
        <v>7</v>
      </c>
      <c r="B36">
        <v>0.25755490574566642</v>
      </c>
      <c r="C36">
        <v>-3.0364363161400287E-2</v>
      </c>
      <c r="E36">
        <v>16.25</v>
      </c>
      <c r="F36">
        <v>0.11782391681792589</v>
      </c>
    </row>
    <row r="37" spans="1:6">
      <c r="A37">
        <v>8</v>
      </c>
      <c r="B37">
        <v>0.25755490574566642</v>
      </c>
      <c r="C37">
        <v>1.0567019742380945E-2</v>
      </c>
      <c r="E37">
        <v>18.75</v>
      </c>
      <c r="F37">
        <v>0.12118893985259621</v>
      </c>
    </row>
    <row r="38" spans="1:6">
      <c r="A38">
        <v>9</v>
      </c>
      <c r="B38">
        <v>0.2835893075648816</v>
      </c>
      <c r="C38">
        <v>2.9504746760493139E-2</v>
      </c>
      <c r="E38">
        <v>21.25</v>
      </c>
      <c r="F38">
        <v>0.12268267034416191</v>
      </c>
    </row>
    <row r="39" spans="1:6">
      <c r="A39">
        <v>10</v>
      </c>
      <c r="B39">
        <v>0.2835893075648816</v>
      </c>
      <c r="C39">
        <v>3.0915785055721401E-2</v>
      </c>
      <c r="E39">
        <v>23.75</v>
      </c>
      <c r="F39">
        <v>0.12364489478192853</v>
      </c>
    </row>
    <row r="40" spans="1:6">
      <c r="A40">
        <v>11</v>
      </c>
      <c r="B40">
        <v>0.2835893075648816</v>
      </c>
      <c r="C40">
        <v>-8.8485434734670299E-3</v>
      </c>
      <c r="E40">
        <v>26.25</v>
      </c>
      <c r="F40">
        <v>0.1249591280756642</v>
      </c>
    </row>
    <row r="41" spans="1:6">
      <c r="A41">
        <v>12</v>
      </c>
      <c r="B41">
        <v>0.2835893075648816</v>
      </c>
      <c r="C41">
        <v>1.8419918495407916E-2</v>
      </c>
      <c r="E41">
        <v>28.75</v>
      </c>
      <c r="F41">
        <v>0.13264311380827298</v>
      </c>
    </row>
    <row r="42" spans="1:6">
      <c r="A42">
        <v>13</v>
      </c>
      <c r="B42">
        <v>0.2835893075648816</v>
      </c>
      <c r="C42">
        <v>2.3208448653433911E-2</v>
      </c>
      <c r="E42">
        <v>31.25</v>
      </c>
      <c r="F42">
        <v>0.14094532827403139</v>
      </c>
    </row>
    <row r="43" spans="1:6">
      <c r="A43">
        <v>14</v>
      </c>
      <c r="B43">
        <v>0.2835893075648816</v>
      </c>
      <c r="C43">
        <v>-9.6427459911709867E-3</v>
      </c>
      <c r="E43">
        <v>33.75</v>
      </c>
      <c r="F43">
        <v>0.15678170211611872</v>
      </c>
    </row>
    <row r="44" spans="1:6">
      <c r="A44">
        <v>15</v>
      </c>
      <c r="B44">
        <v>0.25757443258621648</v>
      </c>
      <c r="C44">
        <v>9.5363765433554293E-3</v>
      </c>
      <c r="E44">
        <v>36.25</v>
      </c>
      <c r="F44">
        <v>0.15867670966544042</v>
      </c>
    </row>
    <row r="45" spans="1:6">
      <c r="A45">
        <v>16</v>
      </c>
      <c r="B45">
        <v>0.25757443258621648</v>
      </c>
      <c r="C45">
        <v>-3.3751638705400905E-2</v>
      </c>
      <c r="E45">
        <v>38.75</v>
      </c>
      <c r="F45">
        <v>0.16313552957338034</v>
      </c>
    </row>
    <row r="46" spans="1:6">
      <c r="A46">
        <v>17</v>
      </c>
      <c r="B46">
        <v>0.25757443258621648</v>
      </c>
      <c r="C46">
        <v>-2.7017353846047532E-2</v>
      </c>
      <c r="E46">
        <v>41.25</v>
      </c>
      <c r="F46">
        <v>0.18274629630683206</v>
      </c>
    </row>
    <row r="47" spans="1:6">
      <c r="A47">
        <v>18</v>
      </c>
      <c r="B47">
        <v>0.25757443258621648</v>
      </c>
      <c r="C47">
        <v>-3.2557254985313533E-2</v>
      </c>
      <c r="E47">
        <v>43.75</v>
      </c>
      <c r="F47">
        <v>0.18288294251160697</v>
      </c>
    </row>
    <row r="48" spans="1:6">
      <c r="A48">
        <v>19</v>
      </c>
      <c r="B48">
        <v>0.25605156263574352</v>
      </c>
      <c r="C48">
        <v>3.8481232295174639E-2</v>
      </c>
      <c r="E48">
        <v>46.25</v>
      </c>
      <c r="F48">
        <v>0.18435985521516077</v>
      </c>
    </row>
    <row r="49" spans="1:6">
      <c r="A49">
        <v>20</v>
      </c>
      <c r="B49">
        <v>0.25605156263574352</v>
      </c>
      <c r="C49">
        <v>6.08255436595595E-3</v>
      </c>
      <c r="E49">
        <v>48.75</v>
      </c>
      <c r="F49">
        <v>0.18848864380072042</v>
      </c>
    </row>
    <row r="50" spans="1:6">
      <c r="A50">
        <v>21</v>
      </c>
      <c r="B50">
        <v>6.8845441354932452E-2</v>
      </c>
      <c r="C50">
        <v>2.120643154260872E-2</v>
      </c>
      <c r="E50">
        <v>51.25</v>
      </c>
      <c r="F50">
        <v>0.19337460652021549</v>
      </c>
    </row>
    <row r="51" spans="1:6">
      <c r="A51">
        <v>22</v>
      </c>
      <c r="B51">
        <v>6.8845441354932452E-2</v>
      </c>
      <c r="C51">
        <v>2.1233160984553356E-2</v>
      </c>
      <c r="E51">
        <v>53.75</v>
      </c>
      <c r="F51">
        <v>0.19491772976184968</v>
      </c>
    </row>
    <row r="52" spans="1:6">
      <c r="A52">
        <v>23</v>
      </c>
      <c r="B52">
        <v>6.8845441354932452E-2</v>
      </c>
      <c r="C52">
        <v>3.2016296629216762E-2</v>
      </c>
      <c r="E52">
        <v>56.25</v>
      </c>
      <c r="F52">
        <v>0.20143636857015554</v>
      </c>
    </row>
    <row r="53" spans="1:6">
      <c r="A53">
        <v>24</v>
      </c>
      <c r="B53">
        <v>0.13436439688082044</v>
      </c>
      <c r="C53">
        <v>-1.6540480062894547E-2</v>
      </c>
      <c r="E53">
        <v>58.75</v>
      </c>
      <c r="F53">
        <v>0.21370902953673371</v>
      </c>
    </row>
    <row r="54" spans="1:6">
      <c r="A54">
        <v>25</v>
      </c>
      <c r="B54">
        <v>0.13436439688082044</v>
      </c>
      <c r="C54">
        <v>-1.7440231466464229E-2</v>
      </c>
      <c r="E54">
        <v>61.25</v>
      </c>
      <c r="F54">
        <v>0.22382279388081558</v>
      </c>
    </row>
    <row r="55" spans="1:6">
      <c r="A55">
        <v>26</v>
      </c>
      <c r="B55">
        <v>0.13436439688082044</v>
      </c>
      <c r="C55">
        <v>-9.4052688051562416E-3</v>
      </c>
      <c r="E55">
        <v>63.75</v>
      </c>
      <c r="F55">
        <v>0.22501717760090295</v>
      </c>
    </row>
    <row r="56" spans="1:6">
      <c r="A56">
        <v>27</v>
      </c>
      <c r="B56">
        <v>0.13436439688082044</v>
      </c>
      <c r="C56">
        <v>-1.0719502098891914E-2</v>
      </c>
      <c r="E56">
        <v>66.25</v>
      </c>
      <c r="F56">
        <v>0.22719054258426613</v>
      </c>
    </row>
    <row r="57" spans="1:6">
      <c r="A57">
        <v>28</v>
      </c>
      <c r="B57">
        <v>0.17331807343684258</v>
      </c>
      <c r="C57">
        <v>-1.0182543863462235E-2</v>
      </c>
      <c r="E57">
        <v>68.75</v>
      </c>
      <c r="F57">
        <v>0.23055707874016895</v>
      </c>
    </row>
    <row r="58" spans="1:6">
      <c r="A58">
        <v>29</v>
      </c>
      <c r="B58">
        <v>0.17331807343684258</v>
      </c>
      <c r="C58">
        <v>9.4282228699894832E-3</v>
      </c>
      <c r="E58">
        <v>71.25</v>
      </c>
      <c r="F58">
        <v>0.26213411700169947</v>
      </c>
    </row>
    <row r="59" spans="1:6">
      <c r="A59">
        <v>30</v>
      </c>
      <c r="B59">
        <v>0.17331807343684258</v>
      </c>
      <c r="C59">
        <v>9.5648690747643927E-3</v>
      </c>
      <c r="E59">
        <v>73.75</v>
      </c>
      <c r="F59">
        <v>0.26711080912957191</v>
      </c>
    </row>
    <row r="60" spans="1:6">
      <c r="A60">
        <v>31</v>
      </c>
      <c r="B60">
        <v>0.17331807343684258</v>
      </c>
      <c r="C60">
        <v>1.5170570363877839E-2</v>
      </c>
      <c r="E60">
        <v>76.25</v>
      </c>
      <c r="F60">
        <v>0.26812192548804736</v>
      </c>
    </row>
    <row r="61" spans="1:6">
      <c r="A61">
        <v>32</v>
      </c>
      <c r="B61">
        <v>0.12111665869830739</v>
      </c>
      <c r="C61">
        <v>-9.0916290375310377E-3</v>
      </c>
      <c r="E61">
        <v>78.75</v>
      </c>
      <c r="F61">
        <v>0.27394656157371061</v>
      </c>
    </row>
    <row r="62" spans="1:6">
      <c r="A62">
        <v>33</v>
      </c>
      <c r="B62">
        <v>0.12111665869830739</v>
      </c>
      <c r="C62">
        <v>-4.1140470193951756E-3</v>
      </c>
      <c r="E62">
        <v>81.25</v>
      </c>
      <c r="F62">
        <v>0.27474076409141457</v>
      </c>
    </row>
    <row r="63" spans="1:6">
      <c r="A63">
        <v>34</v>
      </c>
      <c r="B63">
        <v>0.12111665869830739</v>
      </c>
      <c r="C63">
        <v>1.1526455109965597E-2</v>
      </c>
      <c r="E63">
        <v>83.75</v>
      </c>
      <c r="F63">
        <v>0.28977146430933753</v>
      </c>
    </row>
    <row r="64" spans="1:6">
      <c r="A64">
        <v>35</v>
      </c>
      <c r="B64">
        <v>0.14693514351663553</v>
      </c>
      <c r="C64">
        <v>9.8465585994831906E-3</v>
      </c>
      <c r="E64">
        <v>86.25</v>
      </c>
      <c r="F64">
        <v>0.29453279493091816</v>
      </c>
    </row>
    <row r="65" spans="1:6">
      <c r="A65">
        <v>36</v>
      </c>
      <c r="B65">
        <v>0.14693514351663553</v>
      </c>
      <c r="C65">
        <v>-2.5746203664039319E-2</v>
      </c>
      <c r="E65">
        <v>88.75</v>
      </c>
      <c r="F65">
        <v>0.30200922606028952</v>
      </c>
    </row>
    <row r="66" spans="1:6">
      <c r="A66">
        <v>37</v>
      </c>
      <c r="B66">
        <v>0.14693514351663553</v>
      </c>
      <c r="C66">
        <v>-5.9898152426041407E-3</v>
      </c>
      <c r="E66">
        <v>91.25</v>
      </c>
      <c r="F66">
        <v>0.30600967993685441</v>
      </c>
    </row>
    <row r="67" spans="1:6">
      <c r="A67">
        <v>38</v>
      </c>
      <c r="B67">
        <v>0.14693514351663553</v>
      </c>
      <c r="C67">
        <v>-2.4252473172473615E-2</v>
      </c>
      <c r="E67">
        <v>93.75</v>
      </c>
      <c r="F67">
        <v>0.30679775621831551</v>
      </c>
    </row>
    <row r="68" spans="1:6">
      <c r="A68">
        <v>39</v>
      </c>
      <c r="B68">
        <v>0.16977346781107361</v>
      </c>
      <c r="C68">
        <v>-1.1096758145633184E-2</v>
      </c>
      <c r="E68">
        <v>96.25</v>
      </c>
      <c r="F68">
        <v>0.31309405432537474</v>
      </c>
    </row>
    <row r="69" spans="1:6" ht="15.6" thickBot="1">
      <c r="A69" s="7">
        <v>40</v>
      </c>
      <c r="B69" s="7">
        <v>0.16977346781107361</v>
      </c>
      <c r="C69" s="7">
        <v>1.4586387404087159E-2</v>
      </c>
      <c r="E69" s="7">
        <v>98.75</v>
      </c>
      <c r="F69" s="7">
        <v>0.314505092620603</v>
      </c>
    </row>
  </sheetData>
  <sortState xmlns:xlrd2="http://schemas.microsoft.com/office/spreadsheetml/2017/richdata2" ref="F30:F69">
    <sortCondition ref="F30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delta_s2</vt:lpstr>
      <vt:lpstr>delta_s3</vt:lpstr>
      <vt:lpstr>delta_s1</vt:lpstr>
      <vt:lpstr>delta_a3</vt:lpstr>
      <vt:lpstr>delta_s2_2</vt:lpstr>
      <vt:lpstr>delta_s3_2</vt:lpstr>
      <vt:lpstr>delta_a3_2</vt:lpstr>
      <vt:lpstr>pred_delta_a3_3</vt:lpstr>
      <vt:lpstr>a3</vt:lpstr>
      <vt:lpstr>delta_s2_3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2025-08-13T02:37:53Z</dcterms:created>
  <dcterms:modified xsi:type="dcterms:W3CDTF">2025-09-04T00:09:22Z</dcterms:modified>
</cp:coreProperties>
</file>